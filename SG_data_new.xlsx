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forsk\Documents\python\SGRE_sales\"/>
    </mc:Choice>
  </mc:AlternateContent>
  <xr:revisionPtr revIDLastSave="0" documentId="13_ncr:1_{E80CC344-5016-4E83-9394-997FD5EC3D3B}" xr6:coauthVersionLast="47" xr6:coauthVersionMax="47" xr10:uidLastSave="{00000000-0000-0000-0000-000000000000}"/>
  <bookViews>
    <workbookView xWindow="3765" yWindow="1005" windowWidth="22575" windowHeight="18660" activeTab="1" xr2:uid="{00000000-000D-0000-FFFF-FFFF00000000}"/>
  </bookViews>
  <sheets>
    <sheet name="economy" sheetId="2" r:id="rId1"/>
    <sheet name="2026" sheetId="17" r:id="rId2"/>
    <sheet name="2025" sheetId="16" r:id="rId3"/>
    <sheet name="2024" sheetId="15" r:id="rId4"/>
    <sheet name="2023" sheetId="11" r:id="rId5"/>
    <sheet name="2022" sheetId="3" r:id="rId6"/>
    <sheet name="2021" sheetId="4" r:id="rId7"/>
    <sheet name="2020" sheetId="5" r:id="rId8"/>
    <sheet name="2019" sheetId="12" r:id="rId9"/>
    <sheet name="2018" sheetId="13" r:id="rId10"/>
    <sheet name="2017" sheetId="14" r:id="rId11"/>
    <sheet name="projections" sheetId="10" r:id="rId12"/>
    <sheet name="plots" sheetId="6" r:id="rId13"/>
    <sheet name="delivery 2023" sheetId="7" r:id="rId14"/>
    <sheet name="delivery 2024" sheetId="8" r:id="rId15"/>
    <sheet name="delivery 2025" sheetId="9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4" i="17" l="1"/>
  <c r="C48" i="2"/>
  <c r="D48" i="2"/>
  <c r="E48" i="2"/>
  <c r="F48" i="2"/>
  <c r="G48" i="2"/>
  <c r="H48" i="2"/>
  <c r="I48" i="2"/>
  <c r="J48" i="2"/>
  <c r="K48" i="2"/>
  <c r="L48" i="2"/>
  <c r="I45" i="2"/>
  <c r="V18" i="2"/>
  <c r="W18" i="2"/>
  <c r="X18" i="2"/>
  <c r="Y18" i="2"/>
  <c r="Z18" i="2"/>
  <c r="AA18" i="2"/>
  <c r="AB18" i="2"/>
  <c r="AC18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24" i="16"/>
  <c r="A24" i="15"/>
  <c r="A24" i="11"/>
  <c r="A24" i="3"/>
  <c r="M15" i="10"/>
  <c r="L15" i="10"/>
  <c r="K15" i="10"/>
  <c r="J15" i="10"/>
  <c r="I15" i="10"/>
  <c r="H15" i="10"/>
  <c r="G15" i="10"/>
  <c r="F15" i="10"/>
  <c r="E15" i="10"/>
  <c r="M14" i="10"/>
  <c r="L14" i="10"/>
  <c r="K14" i="10"/>
  <c r="J14" i="10"/>
  <c r="H14" i="10"/>
  <c r="G14" i="10"/>
  <c r="F14" i="10"/>
  <c r="E14" i="10"/>
  <c r="I14" i="10"/>
  <c r="E7" i="10"/>
  <c r="F7" i="10"/>
  <c r="G7" i="10"/>
  <c r="H7" i="10"/>
  <c r="I7" i="10"/>
  <c r="J7" i="10"/>
  <c r="K7" i="10"/>
  <c r="L7" i="10"/>
  <c r="M7" i="10"/>
  <c r="D7" i="10"/>
  <c r="F10" i="6"/>
  <c r="F9" i="6"/>
  <c r="F8" i="6"/>
  <c r="F6" i="6"/>
  <c r="F5" i="6"/>
  <c r="F23" i="9"/>
  <c r="F22" i="9"/>
  <c r="F24" i="8"/>
  <c r="F25" i="8"/>
  <c r="F26" i="8"/>
  <c r="F27" i="8"/>
  <c r="F28" i="8"/>
  <c r="F29" i="8"/>
  <c r="F30" i="8"/>
  <c r="F23" i="8"/>
  <c r="F26" i="7"/>
  <c r="F27" i="7"/>
  <c r="F28" i="7"/>
  <c r="F29" i="7"/>
  <c r="F25" i="7"/>
  <c r="D23" i="9"/>
  <c r="D22" i="9"/>
  <c r="A15" i="9"/>
  <c r="D23" i="8"/>
  <c r="D24" i="8"/>
  <c r="D25" i="8"/>
  <c r="D26" i="8"/>
  <c r="D27" i="8"/>
  <c r="D28" i="8"/>
  <c r="D29" i="8"/>
  <c r="D30" i="8"/>
  <c r="D22" i="8"/>
  <c r="A15" i="8"/>
  <c r="D24" i="7"/>
  <c r="D27" i="7"/>
  <c r="D28" i="7"/>
  <c r="D25" i="7"/>
  <c r="D30" i="7"/>
  <c r="D29" i="7"/>
  <c r="D22" i="7"/>
  <c r="D26" i="7"/>
  <c r="D23" i="7"/>
  <c r="A15" i="7"/>
  <c r="J10" i="7"/>
  <c r="J27" i="5"/>
  <c r="J26" i="5"/>
  <c r="J25" i="5"/>
  <c r="J22" i="5"/>
  <c r="J21" i="5"/>
  <c r="E8" i="6"/>
  <c r="J27" i="4"/>
  <c r="D23" i="4"/>
  <c r="D22" i="4"/>
  <c r="D8" i="3"/>
  <c r="A30" i="5" l="1"/>
  <c r="E5" i="6"/>
  <c r="E10" i="6"/>
  <c r="E7" i="6"/>
  <c r="E9" i="6"/>
  <c r="E6" i="6"/>
  <c r="A31" i="4"/>
  <c r="D8" i="6" l="1"/>
  <c r="D6" i="6"/>
</calcChain>
</file>

<file path=xl/sharedStrings.xml><?xml version="1.0" encoding="utf-8"?>
<sst xmlns="http://schemas.openxmlformats.org/spreadsheetml/2006/main" count="1310" uniqueCount="626">
  <si>
    <t>date</t>
  </si>
  <si>
    <t>country</t>
  </si>
  <si>
    <t>size [MW]</t>
  </si>
  <si>
    <t>Service time  [years]</t>
  </si>
  <si>
    <t>customer</t>
  </si>
  <si>
    <t>#</t>
  </si>
  <si>
    <t>platform</t>
  </si>
  <si>
    <t>Rotor</t>
  </si>
  <si>
    <t>MW</t>
  </si>
  <si>
    <t>Tower height</t>
  </si>
  <si>
    <t>Taiwan</t>
  </si>
  <si>
    <t>SG 14-222 DD</t>
  </si>
  <si>
    <t xml:space="preserve">wind farm </t>
  </si>
  <si>
    <t>note</t>
  </si>
  <si>
    <t>RWE</t>
  </si>
  <si>
    <t>Sofia</t>
  </si>
  <si>
    <t>SWT-7.0-154</t>
  </si>
  <si>
    <t>EDF</t>
  </si>
  <si>
    <t>10 km offshore</t>
  </si>
  <si>
    <t>France</t>
  </si>
  <si>
    <t>The Netherlands</t>
  </si>
  <si>
    <t>SG 11-200 DD</t>
  </si>
  <si>
    <t>CrossWind</t>
  </si>
  <si>
    <t>Hollandse Kust Noord</t>
  </si>
  <si>
    <t>owner</t>
  </si>
  <si>
    <t>Germany</t>
  </si>
  <si>
    <t>Vietnam</t>
  </si>
  <si>
    <t>SG 5.0-145</t>
  </si>
  <si>
    <t>SG 8.0-167 DD</t>
  </si>
  <si>
    <t>Bay of Saint Brieuc</t>
  </si>
  <si>
    <t>Fecamp</t>
  </si>
  <si>
    <t>Courseulles-sur-Mer</t>
  </si>
  <si>
    <t>Iberdrola</t>
  </si>
  <si>
    <t>United states</t>
  </si>
  <si>
    <t>Kaskasi</t>
  </si>
  <si>
    <t>Borkum Riffgrund 3</t>
  </si>
  <si>
    <t>q4</t>
  </si>
  <si>
    <t>q3</t>
  </si>
  <si>
    <t>q2</t>
  </si>
  <si>
    <t>q1</t>
  </si>
  <si>
    <t>revenue</t>
  </si>
  <si>
    <t>Net income</t>
  </si>
  <si>
    <t>Orderbook</t>
  </si>
  <si>
    <t>order backlog service</t>
  </si>
  <si>
    <t>order backlog offshore</t>
  </si>
  <si>
    <t>order backlog onshore</t>
  </si>
  <si>
    <t>average selling price onshore</t>
  </si>
  <si>
    <t>market share onshore</t>
  </si>
  <si>
    <t>firm order intake [M€]</t>
  </si>
  <si>
    <t>EMEA [%][M€]</t>
  </si>
  <si>
    <t>Americas [%][M€]</t>
  </si>
  <si>
    <t>APAC [%][M€]</t>
  </si>
  <si>
    <t>FY22</t>
  </si>
  <si>
    <t>FY21</t>
  </si>
  <si>
    <t>FY20</t>
  </si>
  <si>
    <t>NB! I have moved it one quarter to be real quarter since siemens af one quarter moved accounting</t>
  </si>
  <si>
    <t>Average selling price (onshore)</t>
  </si>
  <si>
    <t>WTG volume [MW]</t>
  </si>
  <si>
    <t>offshore</t>
  </si>
  <si>
    <t>link</t>
  </si>
  <si>
    <t>Finland</t>
  </si>
  <si>
    <t>SG 6.6-170</t>
  </si>
  <si>
    <t>Energiequelle</t>
  </si>
  <si>
    <t>installation q</t>
  </si>
  <si>
    <t>Installation y</t>
  </si>
  <si>
    <t>https://www.siemensgamesa.com/newsroom/2022/10/102022-siemens-gamesa-press-release-onshore-finland-mikonkeidas-energiequelle</t>
  </si>
  <si>
    <t>Romania</t>
  </si>
  <si>
    <t>Eurowind energy</t>
  </si>
  <si>
    <t>Pecineaga</t>
  </si>
  <si>
    <t>https://www.siemensgamesa.com/newsroom/2022/08/082222-siemens-gamesa-press-release-romania-onshore-eurowind-pecineaga</t>
  </si>
  <si>
    <t>Philippines</t>
  </si>
  <si>
    <t>capa</t>
  </si>
  <si>
    <t>ACEN</t>
  </si>
  <si>
    <t>SG 3.6-145</t>
  </si>
  <si>
    <t>Azure Power india</t>
  </si>
  <si>
    <t>India</t>
  </si>
  <si>
    <t>https://www.siemensgamesa.com/newsroom/2022/08/081122-siemens-gamesa-press-release-azure-india-onshore-project</t>
  </si>
  <si>
    <t>https://www.siemensgamesa.com/newsroom/2022/08/081122-siemens-gamesa-press-release-acen-philippines-pagudpud-caparispisa-onshore</t>
  </si>
  <si>
    <t>Japan</t>
  </si>
  <si>
    <t>SG 8.0-167</t>
  </si>
  <si>
    <t>https://www.siemensgamesa.com/newsroom/2022/07/072922-siemens-gamesa-press-release-first-offshore-project-ishikari-japan</t>
  </si>
  <si>
    <t>Ishikari</t>
  </si>
  <si>
    <t>https://www.siemensgamesa.com/newsroom/2022/07/071822-siemens-gamesa-press-release-kolvallen-sweden-project-onshore</t>
  </si>
  <si>
    <t>SG 6.6-155</t>
  </si>
  <si>
    <t>Kölvallen</t>
  </si>
  <si>
    <t>Arise and Foresight</t>
  </si>
  <si>
    <t>Sweden</t>
  </si>
  <si>
    <t>https://www.siemensgamesa.com/newsroom/2022/07/070622-siemens-gamesa-press-release-kinesis-enerji-spain-onshore</t>
  </si>
  <si>
    <t>Spain</t>
  </si>
  <si>
    <t>Kineses Enerji</t>
  </si>
  <si>
    <t>South Korea</t>
  </si>
  <si>
    <t>SK D&amp;D</t>
  </si>
  <si>
    <t>https://www.siemensgamesa.com/newsroom/2022/07/070522-siemens-gamesa-press-release-sk-gunwi-korea-onshore</t>
  </si>
  <si>
    <t>wpd</t>
  </si>
  <si>
    <t>SG 8.6-167 DD</t>
  </si>
  <si>
    <t>Gennaker</t>
  </si>
  <si>
    <t>https://www.siemensgamesa.com/newsroom/2022/07/070422-siemens-gamesa-press-release-offshore-gennaker-germany</t>
  </si>
  <si>
    <t>https://www.siemensgamesa.com/newsroom/2022/06/062422-siemens-gamesa-press-release-borkum-offshore-order</t>
  </si>
  <si>
    <t>Ørsted</t>
  </si>
  <si>
    <t>SG 11.0-200 DD</t>
  </si>
  <si>
    <t>https://www.siemensgamesa.com/newsroom/2022/06/062722-siemens-gamesa-press-relelase-rwe-accelerate-offshore-market-poland</t>
  </si>
  <si>
    <t>Poland</t>
  </si>
  <si>
    <t>SG 14-236 DD</t>
  </si>
  <si>
    <t>Baltic II</t>
  </si>
  <si>
    <t>UK</t>
  </si>
  <si>
    <t>Scotland</t>
  </si>
  <si>
    <t>https://www.siemensgamesa.com/newsroom/2022/06/062122-siemens-gamesa-press-release-west-moray-offshore</t>
  </si>
  <si>
    <t>Moray West</t>
  </si>
  <si>
    <t>https://www.siemensgamesa.com/newsroom/2022/06/061022-siemens-gamesa-press-release-vena-energy-india-133mw</t>
  </si>
  <si>
    <t>Greenalia</t>
  </si>
  <si>
    <t>https://www.siemensgamesa.com/newsroom/2022/05/053022-siemens-gamesa-press-release-greenalia-campelos-spain-110mw</t>
  </si>
  <si>
    <t>Serbia</t>
  </si>
  <si>
    <t>SG 3.3-132</t>
  </si>
  <si>
    <t>EPS</t>
  </si>
  <si>
    <t>https://www.siemensgamesa.com/newsroom/2022/05/051822-siemens-gamesa-press-release-serbia-eps-project</t>
  </si>
  <si>
    <t>Baltyk II &amp; III</t>
  </si>
  <si>
    <t>preferred supplier, FID 2024</t>
  </si>
  <si>
    <t>https://www.siemensgamesa.com/newsroom/2022/01/220118-siemens-gamesa-press-release-siemens-gamesa-press-release-iberdrola-spain-5x-onshore</t>
  </si>
  <si>
    <t>https://www.siemensgamesa.com/newsroom/2022/02/220222-siemens-gamesa-press-release-baltyk-ii-iii-poland</t>
  </si>
  <si>
    <t>Hai long</t>
  </si>
  <si>
    <t>FID 2023</t>
  </si>
  <si>
    <t>https://www.siemensgamesa.com/newsroom/2022/10/101922-siemens-gamesa-press-release-offshore-hai-long--taiwan</t>
  </si>
  <si>
    <t>Stor-Skälsjön</t>
  </si>
  <si>
    <t>Eolus</t>
  </si>
  <si>
    <t>115-123</t>
  </si>
  <si>
    <t>https://www.siemensgamesa.com/newsroom/2021/12/211230-siemens-gamesa-press-release-deal-eolus-hydro-rein-sweden-5x</t>
  </si>
  <si>
    <t>NIIF</t>
  </si>
  <si>
    <t>SG 14-222</t>
  </si>
  <si>
    <t>Virginia offshore</t>
  </si>
  <si>
    <t>FID q1 2023</t>
  </si>
  <si>
    <t>https://www.siemensgamesa.com/newsroom/2021/12/211220-siemens-gamesa-press-release-offshore-dominion-energy-usa</t>
  </si>
  <si>
    <t>https://www.siemensgamesa.com/newsroom/2021/12/211227-siemens-gamesa-press-release-3-x-platfomr-ayana-renewable-power-india</t>
  </si>
  <si>
    <t>Gode Wind 3</t>
  </si>
  <si>
    <t>Denmark</t>
  </si>
  <si>
    <t>Vestashav Nord + Syd</t>
  </si>
  <si>
    <t>Vattenfall</t>
  </si>
  <si>
    <t>https://www.siemensgamesa.com/newsroom/2021/12/211215-siemens-gamesa-press-release-vesterhav-projects-firm-order</t>
  </si>
  <si>
    <t>https://www.siemensgamesa.com/newsroom/2021/12/siemens-gamesa-press-release-offshore-gode-wind-3-firm-order</t>
  </si>
  <si>
    <t>https://www.siemensgamesa.com/newsroom/2021/11/211124-siemens-gamesa-press-release-finland-lestijarvvi-455mw</t>
  </si>
  <si>
    <t>OX2</t>
  </si>
  <si>
    <t>Lestijärvi</t>
  </si>
  <si>
    <t>https://www.siemensgamesa.com/newsroom/2021/11/211118-siemens-gamesa-press-release-canada-order-hilda</t>
  </si>
  <si>
    <t>Canada</t>
  </si>
  <si>
    <t>Hilda</t>
  </si>
  <si>
    <t>RES</t>
  </si>
  <si>
    <t>SG 5.8-170</t>
  </si>
  <si>
    <t>Ranasjö + Salsjö</t>
  </si>
  <si>
    <t>Arise</t>
  </si>
  <si>
    <t>https://www.siemensgamesa.com/newsroom/2021/08/210804-siemens-gamesa-press-release-sweden-twin-peaks</t>
  </si>
  <si>
    <t>https://www.siemensgamesa.com/newsroom/2021/07/210720-siemens-gamesa-press-release-renew-india</t>
  </si>
  <si>
    <t>ReNew</t>
  </si>
  <si>
    <t>SG 3.4-145</t>
  </si>
  <si>
    <t>Tondehal</t>
  </si>
  <si>
    <t>https://www.siemensgamesa.com/newsroom/2021/06/210624-siemens-gamesa-press-release-spain-85mw</t>
  </si>
  <si>
    <t>UPC</t>
  </si>
  <si>
    <t>SG 5.0-132</t>
  </si>
  <si>
    <t>https://www.siemensgamesa.com/newsroom/2021/05/212605-siemens-gamesa-press-release-largest-wind-farm-philipines</t>
  </si>
  <si>
    <t>Peru</t>
  </si>
  <si>
    <t>5-5.2</t>
  </si>
  <si>
    <t>https://www.siemensgamesa.com/newsroom/2021/04/210413-siemens-gamesa-press-release-peru-punta-lomitas</t>
  </si>
  <si>
    <t>https://www.siemensgamesa.com/newsroom/2021/03/210330-siemens-gamesa-press-release-sofia-uk</t>
  </si>
  <si>
    <t>195 km offshore, 35 m water depth</t>
  </si>
  <si>
    <t>https://www.siemensgamesa.com/newsroom/2021/03/210330-siemens-gamesa-press-release-spain-repsol</t>
  </si>
  <si>
    <t>Repsol</t>
  </si>
  <si>
    <t>Grevekulla</t>
  </si>
  <si>
    <t>European Energy</t>
  </si>
  <si>
    <t>https://www.siemensgamesa.com/newsroom/2021/03/210326-siemens-gamesa-press-release-sweden-5x-european-energy</t>
  </si>
  <si>
    <t>https://www.siemensgamesa.com/newsroom/2021/03/210325-siemens-gamesa-press-release-italy-contracts</t>
  </si>
  <si>
    <t>Italy</t>
  </si>
  <si>
    <t>SG 3.4-132</t>
  </si>
  <si>
    <t>https://www.siemensgamesa.com/newsroom/2021/03/210310-siemens-gamesa-press-release-new-zeland</t>
  </si>
  <si>
    <t>New Zealand</t>
  </si>
  <si>
    <t>SG 4.3</t>
  </si>
  <si>
    <t>Meridian</t>
  </si>
  <si>
    <t>https://www.siemensgamesa.com/newsroom/2021/03/210309-siemens-gamesa-press-release-spain-elawan</t>
  </si>
  <si>
    <t>https://www.siemensgamesa.com/newsroom/2021/03/210304-siemens-gamesa-press-release-pr-uk-5x-longhill</t>
  </si>
  <si>
    <t>SG 5.8-155</t>
  </si>
  <si>
    <t>Longhill Burn</t>
  </si>
  <si>
    <t>https://www.siemensgamesa.com/newsroom/2021/02/210222-siemens-gamesa-press-release-courseulles-firm-order</t>
  </si>
  <si>
    <t>https://www.siemensgamesa.com/newsroom/2021/02/210211-siemens-gamesa-press-release-759-mw-offshore</t>
  </si>
  <si>
    <t>Tekniska verken</t>
  </si>
  <si>
    <t>https://www.siemensgamesa.com/newsroom/2021/02/210209-siemens-gamesa-press-release-sweden-5x-deal-tekniska-verken</t>
  </si>
  <si>
    <t>Fryksdalshöjden</t>
  </si>
  <si>
    <t>https://www.siemensgamesa.com/newsroom/2021/01/210122-siemens-gamesa-press-release-brasil-engie</t>
  </si>
  <si>
    <t>Brazil</t>
  </si>
  <si>
    <t>Santo Agostinho</t>
  </si>
  <si>
    <t>https://www.siemensgamesa.com/newsroom/2021/01/210118-siemens-gamesa-press-release-81mw-finland</t>
  </si>
  <si>
    <t>Suomen Hyötytuuli Oy</t>
  </si>
  <si>
    <t>https://www.siemensgamesa.com/newsroom/2021/01/210115-siemens-gamesa-press-release-hunghai-vietnam</t>
  </si>
  <si>
    <t>SG 4.X-145</t>
  </si>
  <si>
    <t>https://www.siemensgamesa.com/newsroom/2021/01/210115-siemens-gamesa-press-release-hanbaram-vietnam</t>
  </si>
  <si>
    <t>Gia Lai Investment and Development Wind Power JSC</t>
  </si>
  <si>
    <t>Ethiopia</t>
  </si>
  <si>
    <t>EEP</t>
  </si>
  <si>
    <t>https://www.siemensgamesa.com/newsroom/2021/01/210104-siemens-gamesa-press-release-first-wind-farm-ethiopia-en</t>
  </si>
  <si>
    <t>region</t>
  </si>
  <si>
    <t>SA</t>
  </si>
  <si>
    <t>NA</t>
  </si>
  <si>
    <t>EU</t>
  </si>
  <si>
    <t>AF</t>
  </si>
  <si>
    <t>AS</t>
  </si>
  <si>
    <t>AU</t>
  </si>
  <si>
    <t xml:space="preserve">SA </t>
  </si>
  <si>
    <t>Rabbalshede kraft</t>
  </si>
  <si>
    <t>https://www.siemensgamesa.com/newsroom/2020/12/201223-siemens-gamesa-press-release-pr-5x-femstenaberg</t>
  </si>
  <si>
    <t>https://www.siemensgamesa.com/newsroom/2020/12/201222-siemens-gamesa-press-release-brazil-america-patria-onshore</t>
  </si>
  <si>
    <t>https://www.siemensgamesa.com/newsroom/2020/12/201216-siemens-gamesa-press-release-haystack-orsted-usa</t>
  </si>
  <si>
    <t>Nebraska</t>
  </si>
  <si>
    <t>https://www.siemensgamesa.com/newsroom/2020/12/201202-siemens-gamesa-press-release-european-energy-sweden-poland</t>
  </si>
  <si>
    <t>European energy</t>
  </si>
  <si>
    <t>Kingebol</t>
  </si>
  <si>
    <t>Rattlesnake</t>
  </si>
  <si>
    <t>Berkshire Hathaway Energy</t>
  </si>
  <si>
    <t>Björnberget</t>
  </si>
  <si>
    <t>https://www.siemensgamesa.com/newsroom/2020/10/201006-siemens-gamesa-press-release-largest-5x-deal-bjornberget</t>
  </si>
  <si>
    <t>https://www.siemensgamesa.com/newsroom/2020/11/201124-siemens-gamesa-press-release-canada-130-mw-order-sg-5-0-145</t>
  </si>
  <si>
    <t>SG 2.X</t>
  </si>
  <si>
    <t>Pakistan</t>
  </si>
  <si>
    <t>https://www.siemensgamesa.com/newsroom/2020/09/201001-siemens-gamesa-press-release-pakistan-storage</t>
  </si>
  <si>
    <t>prev. Year?</t>
  </si>
  <si>
    <t>Eolus Vind</t>
  </si>
  <si>
    <t>https://www.siemensgamesa.com/newsroom/2020/09/200930-siemens-gamesa-press-release-sweden-5x-eolus-vind</t>
  </si>
  <si>
    <t>Texas</t>
  </si>
  <si>
    <t>https://www.siemensgamesa.com/newsroom/2020/08/200831-siemens-gamesa-press-release-texas-325mw-project</t>
  </si>
  <si>
    <t>SG 2.2-122</t>
  </si>
  <si>
    <t>https://www.siemensgamesa.com/newsroom/2020/08/200817-siemens-gamesa-press-release-india-adani-green-energy</t>
  </si>
  <si>
    <t>Chile</t>
  </si>
  <si>
    <t>Cabo Leones III</t>
  </si>
  <si>
    <t>https://www.siemensgamesa.com/newsroom/2020/07/200724-siemens-gamesa-press-release-cabo-leones-3-chile</t>
  </si>
  <si>
    <t>https://www.siemensgamesa.com/newsroom/2020/07/200724-siemens-gamesa-press-release-cabo-leones-1-chile</t>
  </si>
  <si>
    <t>Hiep Thanh</t>
  </si>
  <si>
    <t>https://www.siemensgamesa.com/newsroom/2020/07/200723-siemens-gamesa-press-release-vietnam-78-mw</t>
  </si>
  <si>
    <t>Hybrid towers (concrete and steel)</t>
  </si>
  <si>
    <t>https://www.siemensgamesa.com/newsroom/2020/06/200622-siemens-gamesa-press-release-wind-farm-coesfeld</t>
  </si>
  <si>
    <t>coesfeld</t>
  </si>
  <si>
    <t>SWT-3.6-130</t>
  </si>
  <si>
    <t>SWT-DD-142</t>
  </si>
  <si>
    <t>https://www.siemensgamesa.com/newsroom/2020/05/200529-siemens-gamesa-bay-of-saint-brieuc-offshore</t>
  </si>
  <si>
    <t>https://www.siemensgamesa.com/newsroom/2020/06/200602-siemens-gamesa-press-release-fecamp-vinci</t>
  </si>
  <si>
    <t>https://www.siemensgamesa.com/newsroom/2020/04/200420-siemens-gamesa-poland-auctions</t>
  </si>
  <si>
    <t>from auction in 2019</t>
  </si>
  <si>
    <t>https://www.siemensgamesa.com/newsroom/2020/04/200415-siemens-gamesa-rodene-sweden-5x</t>
  </si>
  <si>
    <t>Rödene</t>
  </si>
  <si>
    <t>https://www.siemensgamesa.com/newsroom/2020/04/200403-siemens-gamesa-kaskasi</t>
  </si>
  <si>
    <t>AES</t>
  </si>
  <si>
    <t>https://www.siemensgamesa.com/newsroom/2020/03/010420-siemens-gamesa-tucano-brazil</t>
  </si>
  <si>
    <t>Eurowind Energy A/S</t>
  </si>
  <si>
    <t>Knöstad</t>
  </si>
  <si>
    <t>https://www.siemensgamesa.com/newsroom/2020/03/200326-siemens-gamesa-order-knostad-sweden</t>
  </si>
  <si>
    <t>Djibouti</t>
  </si>
  <si>
    <t>https://www.siemensgamesa.com/newsroom/2020/02/200225-siemens-gamesa-djibouti-en</t>
  </si>
  <si>
    <t>Electricité de Djibouti</t>
  </si>
  <si>
    <t>contract date</t>
  </si>
  <si>
    <t>FY19</t>
  </si>
  <si>
    <t>FY18</t>
  </si>
  <si>
    <t>FY17</t>
  </si>
  <si>
    <t>FY16</t>
  </si>
  <si>
    <t>order intake onshore [M€]</t>
  </si>
  <si>
    <t>order intake offshore [M€]</t>
  </si>
  <si>
    <t>order intake service [M€]</t>
  </si>
  <si>
    <t>order intake onshore [MW]</t>
  </si>
  <si>
    <t>order intake offshore [MW]</t>
  </si>
  <si>
    <t>est</t>
  </si>
  <si>
    <t>Rest of world</t>
  </si>
  <si>
    <t>China</t>
  </si>
  <si>
    <t>On and Offshore</t>
  </si>
  <si>
    <t>installation pr year</t>
  </si>
  <si>
    <t>total</t>
  </si>
  <si>
    <t>data from annaul report 2022 - activity report</t>
  </si>
  <si>
    <t>RoW</t>
  </si>
  <si>
    <t>wolrd market</t>
  </si>
  <si>
    <t>Riberget</t>
  </si>
  <si>
    <t>https://www.siemensgamesa.com/-/media/siemensgamesa/downloads/en/newsroom/2022/11/siemens-gamesa-press-release-onshore-riberget-sweden-5x.pdf</t>
  </si>
  <si>
    <t>https://www.siemensgamesa.com/-/media/siemensgamesa/downloads/en/newsroom/2022/12/siemens-gamesa-press-release-capital-energy-contract-la-herrada-spain.pdf</t>
  </si>
  <si>
    <t>Capital Energy</t>
  </si>
  <si>
    <t>Albactet</t>
  </si>
  <si>
    <t>https://www.siemensgamesa.com/-/media/siemensgamesa/downloads/en/newsroom/2022/12/siemens-gamesa-press-release-onshore-ox2-niinimaki-finland.pdf</t>
  </si>
  <si>
    <t>Niinimäki</t>
  </si>
  <si>
    <t>https://www.siemensgamesa.com/en-int/-/media/siemensgamesa/downloads/en/newsroom/2023/01/siemens-gamesa-press-release-offshore-wind-plant-thor-denmark.pdf</t>
  </si>
  <si>
    <t>Thor</t>
  </si>
  <si>
    <t>Later announced that some blade will be recyclaBlade</t>
  </si>
  <si>
    <t>195 km offshore, 35 m water depth, later announced that 40 turbines will be with recyclaBlade</t>
  </si>
  <si>
    <t>ScottishPower Renewables</t>
  </si>
  <si>
    <t>East Anglia 3</t>
  </si>
  <si>
    <t>69 km offshore</t>
  </si>
  <si>
    <t>ArcelorMittal</t>
  </si>
  <si>
    <t>Andhra Pradesh</t>
  </si>
  <si>
    <t>PGE and Ørsted</t>
  </si>
  <si>
    <t>40 km offshore</t>
  </si>
  <si>
    <t>#.1</t>
  </si>
  <si>
    <t>platform.1</t>
  </si>
  <si>
    <t>Rotor.1</t>
  </si>
  <si>
    <t>MW.1</t>
  </si>
  <si>
    <t>SWT-3.0-113</t>
  </si>
  <si>
    <t>Potenza. The</t>
  </si>
  <si>
    <t>Two new onshore wind projects in Italian Basilicata region: Siemens Gamesa signs contracts covering 23 turbines</t>
  </si>
  <si>
    <t>https://www.siemensgamesa.com/global/en/home/press-releases/two-new-onshore-wind-projects-in-italian-basilicata-region-sgre-signs-contracts-covering-23-turbines.html</t>
  </si>
  <si>
    <t>R&amp;D</t>
  </si>
  <si>
    <t>Siemens Gamesa to supply 22 turbines (64 MW) at two wind farms being developed by Gas Natural Fenosa Renovables in Spain</t>
  </si>
  <si>
    <t>https://www.siemensgamesa.com/global/en/home/press-releases/siemens-gamesa-to-supply-22-turbines-64-mw-at-two-wind-farms.html</t>
  </si>
  <si>
    <t>Tamil Nadu. This</t>
  </si>
  <si>
    <t>Siemens Gamesa continues to lead the Indian market with a new order for the construction of a 200 MW wind project under a turnkey arrangement</t>
  </si>
  <si>
    <t>https://www.siemensgamesa.com/global/en/home/press-releases/siemens-gamesa-continues-to-lead-the-indian-market-with-a-new-order-for-the-construction-of-a-200-mw.html</t>
  </si>
  <si>
    <t>Thailand</t>
  </si>
  <si>
    <t>Siemens Gamesa secures its largest-ever order in Thailand where it has been contracted to supply more than 100 turbines with total capacity of 260 MW</t>
  </si>
  <si>
    <t>https://www.siemensgamesa.com/global/en/home/press-releases/siemens-gamesa-secures-its-largest-ever-order-in-thailand.html</t>
  </si>
  <si>
    <t>Hubei Energy Lichuan Zhonghao</t>
  </si>
  <si>
    <t>Siemens Gamesa lands a new contract for the supply of 34 MW in China</t>
  </si>
  <si>
    <t>https://www.siemensgamesa.com/global/en/home/press-releases/siemens-gamesa-lands-a-new-contract-for-the-supply-of-34-mw-in-china.html</t>
  </si>
  <si>
    <t>Zephyr Power</t>
  </si>
  <si>
    <t>Siemens Gamesa debuts in Pakistan: the company wins EPC contract for the supply of 50 MW</t>
  </si>
  <si>
    <t>https://www.siemensgamesa.com/global/en/home/press-releases/siemens-gamesa-debuts-in-pakistan-the-company-wins-epc-contract-for-the-supply-of-50-mw.html</t>
  </si>
  <si>
    <t>India. It also is the country's first large commercial hybrid project The scope i</t>
  </si>
  <si>
    <t>Siemens Gamesa wins first order for a hybrid wind-solar project in India</t>
  </si>
  <si>
    <t>https://www.siemensgamesa.com/global/en/home/press-releases/siemens-gamesa-wins-first-order-for-a-hybrid-wind-solar-project-in-india.html</t>
  </si>
  <si>
    <t>Argentina</t>
  </si>
  <si>
    <t>Argentina. This</t>
  </si>
  <si>
    <t>Siemens Gamesa Renewable Energy cements its leadership in Latin America with a 97-MW supply order in Argentina</t>
  </si>
  <si>
    <t>https://www.siemensgamesa.com/global/en/home/press-releases/sgre-cements-its-leadership-in-latin-america-with-a-97-mw-supply-order-in-argentina.html</t>
  </si>
  <si>
    <t>Inner Mongolia The</t>
  </si>
  <si>
    <t>Siemens Gamesa reinforces its presence in China with a new order for 300 MW, one of its largest ever in this market</t>
  </si>
  <si>
    <t>https://www.siemensgamesa.com/global/en/home/press-releases/siemens-gamesa-reinforces-its-presence-in-china-with-a-new-order-for-300-mw.html</t>
  </si>
  <si>
    <t>Mexico</t>
  </si>
  <si>
    <t>Siemens Gamesa to supply 36 turbines in Mexico</t>
  </si>
  <si>
    <t>https://www.siemensgamesa.com/global/en/home/press-releases/siemens-gamesa-to-supply-36-turbines-in-mexico.html</t>
  </si>
  <si>
    <t>Turkey</t>
  </si>
  <si>
    <t>Baglar</t>
  </si>
  <si>
    <t>Siemens Gamesa to supply 118 MW in Turkey, marking the début order in Europe for its new 3.3 MW platform</t>
  </si>
  <si>
    <t>https://www.siemensgamesa.com/global/en/home/press-releases/siemens-gamesa-to-supply-118-mw-in-turkey-marking-the-debut-order-in-europe.html</t>
  </si>
  <si>
    <t>Russia</t>
  </si>
  <si>
    <t>Kola</t>
  </si>
  <si>
    <t>Siemens Gamesa signs second order with Enel in Russia for over 200 MW</t>
  </si>
  <si>
    <t>https://www.siemensgamesa.com/global/en/home/press-releases/contract-onshore-russia-enel-3-X-platform.html</t>
  </si>
  <si>
    <t>SG 4.5-145</t>
  </si>
  <si>
    <t>Siemens Gamesa signs first contract to supply its new wind turbine of the Siemens Gamesa 4.X platform totaling 249 MW in Mexico</t>
  </si>
  <si>
    <t>https://www.siemensgamesa.com/global/en/home/press-releases/contract-onshore-mexico-enel-4-X-platform.html</t>
  </si>
  <si>
    <t>Norvento</t>
  </si>
  <si>
    <t>Siemens Gamesa to supply the wind turbines for a Norvento wind farm in Lugo, Spain</t>
  </si>
  <si>
    <t>https://www.siemensgamesa.com/global/en/home/press-releases/contract-wind-turbines-norvento-lugo-spain.html</t>
  </si>
  <si>
    <t>Belgium</t>
  </si>
  <si>
    <t>Belgium. Project to utilize 58 SG 8.0-167 DD offshore wind turbines</t>
  </si>
  <si>
    <t>Siemens Gamesa to supply 487 MW SeaMade offshore wind power project in Belgium</t>
  </si>
  <si>
    <t>https://www.siemensgamesa.com/global/en/home/press-releases/contract-offshore-belgium-seamade-8mw-turbines.html</t>
  </si>
  <si>
    <t>Denizly</t>
  </si>
  <si>
    <t>Siemens Gamesa strengthens its presence in the onshore market with new projects totaling 263 MW</t>
  </si>
  <si>
    <t>https://www.siemensgamesa.com/global/en/home/press-releases/contract-onshore-market-europe-new-projects-totaling-263MW.html</t>
  </si>
  <si>
    <t>SG 2.1-122</t>
  </si>
  <si>
    <t>SG 2.0-114</t>
  </si>
  <si>
    <t>Osmanabad district</t>
  </si>
  <si>
    <t>Siemens Gamesa secures 176.8 MW order from ReNew Power for two wind projects in India</t>
  </si>
  <si>
    <t>https://www.siemensgamesa.com/global/en/home/press-releases/20181031-renew-power-india-two-projects.html</t>
  </si>
  <si>
    <t>United States</t>
  </si>
  <si>
    <t>SWT-2.3-108</t>
  </si>
  <si>
    <t>Reading Wind</t>
  </si>
  <si>
    <t>Siemens Gamesa awarded order for 198.5 MW wind project in Kansas, USA</t>
  </si>
  <si>
    <t>https://www.siemensgamesa.com/global/en/home/press-releases/20181025-SGRE-awarded-order-for-wind-project-in-Kansas.html</t>
  </si>
  <si>
    <t>MW Enel</t>
  </si>
  <si>
    <t>Siemens Gamesa enters Russia with its first order for 90 MW Enel wind farm</t>
  </si>
  <si>
    <t>https://www.siemensgamesa.com/global/en/home/press-releases/20181005-enters-Russia-with-its-first-order-for-90-MW-Enel-wind-farm.html</t>
  </si>
  <si>
    <t>SWT-6.0-154</t>
  </si>
  <si>
    <t>Yunlin</t>
  </si>
  <si>
    <t>Siemens Gamesa awards first two contracts for localized offshore wind turbine components in Taiwan</t>
  </si>
  <si>
    <t>https://www.siemensgamesa.com/global/en/home/press-releases/20181002-SGRE-awards-first-two-contracts-for-localized-offshore-wind-Taiwan.html</t>
  </si>
  <si>
    <t>SG 2.1-114</t>
  </si>
  <si>
    <t>Los Cierzos</t>
  </si>
  <si>
    <t>Siemens Gamesa continues to win new contracts in Spain: it has been mandated to supply 233 MW at eight wind farms</t>
  </si>
  <si>
    <t>https://www.siemensgamesa.com/global/en/home/press-releases/20180924-sgre-continues-to-win-new-contracts-in-spain.html</t>
  </si>
  <si>
    <t>Norway</t>
  </si>
  <si>
    <t>Norway. The</t>
  </si>
  <si>
    <t>Siemens Gamesa to supply wind turbines with 208 MW total capacity for one of Norway’s largest wind park</t>
  </si>
  <si>
    <t>https://www.siemensgamesa.com/global/en/home/press-releases/2018-10-08-onshore-norway-208-mw.html</t>
  </si>
  <si>
    <t>Coastal Virginia Offshore Wind</t>
  </si>
  <si>
    <t>Siemens Gamesa and Ørsted sign first U.S. offshore turbine supplier contract</t>
  </si>
  <si>
    <t>https://www.siemensgamesa.com/global/en/home/press-releases/20180809-offshore-wind-park-usa.html</t>
  </si>
  <si>
    <t>Netherlands</t>
  </si>
  <si>
    <t>at least 16 years. In the consortium</t>
  </si>
  <si>
    <t>Siemens Gamesa - Van Oord named preferred contractor for Fryslân nearshore wind farm</t>
  </si>
  <si>
    <t>https://www.siemensgamesa.com/global/en/home/press-releases/Van-Oord-preferred-contractor-030817.html</t>
  </si>
  <si>
    <t>South Africa</t>
  </si>
  <si>
    <t>MW Kangnas</t>
  </si>
  <si>
    <t>Siemens Gamesa to install two large onshore wind farm projects in South Africa</t>
  </si>
  <si>
    <t>https://www.siemensgamesa.com/global/en/home/press-releases/180711-South-africa-order-two-wind-farm.html</t>
  </si>
  <si>
    <t>SG 2.6-114</t>
  </si>
  <si>
    <t>El Marquesado</t>
  </si>
  <si>
    <t>Siemens Gamesa to supply 92 of its newest wind turbine models at 10 wind farms in Spain</t>
  </si>
  <si>
    <t>https://www.siemensgamesa.com/global/en/home/press-releases/180709-contratos-in-Spain.html</t>
  </si>
  <si>
    <t>Siemens Gamesa's history</t>
  </si>
  <si>
    <t>Siemens Gamesa will supply the world’s largest offshore project: Ørsted orders 165 turbines for Hornsea Two wind power plant</t>
  </si>
  <si>
    <t>https://www.siemensgamesa.com/global/en/home/press-releases/siemens-gamesa-news-offshore-hornsea-two-oersted.html</t>
  </si>
  <si>
    <t>Siemens Gamesa secures Brazil's largest-ever contract: 136 turbines for Iberdrola</t>
  </si>
  <si>
    <t>https://www.siemensgamesa.com/global/en/home/press-releases/siemens-gamesa-news-brazil-largest-onshore-agreement-iberdrola.html</t>
  </si>
  <si>
    <t>India. The</t>
  </si>
  <si>
    <t>Siemens Gamesa secures its largest ever wind turbine order of 300 MW in India</t>
  </si>
  <si>
    <t>https://www.siemensgamesa.com/global/en/home/press-releases/siemens-gamesa-secures-its-largest-ever-wind-turbine-order-of-300-mw-in-india.html</t>
  </si>
  <si>
    <t>King Mountain</t>
  </si>
  <si>
    <t>Siemens Gamesa seals a 508 MW deal to repower three wind farms in the US</t>
  </si>
  <si>
    <t>https://www.siemensgamesa.com/global/en/home/press-releases/siemens-gamesa-seals-a-508-mw-deal-to-repower-three-wind-farms-in-the-us.html</t>
  </si>
  <si>
    <t>Siemens Gamesa wins 140 MW of wind power orders in India for multiple projects</t>
  </si>
  <si>
    <t>https://www.siemensgamesa.com/global/en/home/press-releases/siemens-gamesa-wins-140-mw-of-wind-power-orders-in-india-for-multiple-projects.html</t>
  </si>
  <si>
    <t>SWT-2.625-120</t>
  </si>
  <si>
    <t>MW. The</t>
  </si>
  <si>
    <t>Siemens Gamesa secures 77 MW wind project with MidAmerican Energy in the U.S.</t>
  </si>
  <si>
    <t>https://www.siemensgamesa.com/global/en/home/press-releases/siemens-gamesa-secures-77-mw-wind-project-with-midamerican-energy-in-the-us.html</t>
  </si>
  <si>
    <t>Siemens Gamesa to supply 166 MW at four new wind farms to be developed by Gas Natural Fenosa Renovables in Spain</t>
  </si>
  <si>
    <t>https://www.siemensgamesa.com/global/en/home/press-releases/siemens-gamesa-to-supply-166-mw-at-four-new-wind-farms.html</t>
  </si>
  <si>
    <t>Australia</t>
  </si>
  <si>
    <t>Australia that will incorporate a battery energy storage system. The company has</t>
  </si>
  <si>
    <t>Siemens Gamesa to build a pioneering 194 MW wind farm in Australia that will incorporate a battery energy storage system</t>
  </si>
  <si>
    <t>https://www.siemensgamesa.com/global/en/home/press-releases/siemens-gamesa-to-build-a-pioneering-194-mw-wind-farm-in-australia.html</t>
  </si>
  <si>
    <t>MW The Dam Nai</t>
  </si>
  <si>
    <t>Siemens Gamesa reinforces its presence in Vietnam with a new order for 39 MW</t>
  </si>
  <si>
    <t>https://www.siemensgamesa.com/global/en/home/press-releases/siemens-gamesa-reinforces-its-presence-in-vietnam-with-a-new-order-for-39-mw.html</t>
  </si>
  <si>
    <t>Siemens Gamesa boosts its leadership in Spain with the supply of turbines at an Iberdrola wind farm in Tenerife</t>
  </si>
  <si>
    <t>https://www.siemensgamesa.com/global/en/home/press-releases/siemens-gamesa-boosts-its-leadership-in-spain-with-the-supply-of-turbines-at-an-iberdrola-wind-farm.html</t>
  </si>
  <si>
    <t>New</t>
  </si>
  <si>
    <t>SWT-3.2-113</t>
  </si>
  <si>
    <t>Innovent's Eplessier</t>
  </si>
  <si>
    <t>New orders in France: Siemens Gamesa to supply 104 MW for five onshore projects</t>
  </si>
  <si>
    <t>https://www.siemensgamesa.com/global/en/home/press-releases/new-orders-in-france-siemens-gamesa-to-supply-104-mw-for-five-onshore-projects.html</t>
  </si>
  <si>
    <t>Siemens Gamesa reinforces offshore strategy in China by licensing the 8 MW Direct Drive technology to partner Shanghai Electric</t>
  </si>
  <si>
    <t>https://www.siemensgamesa.com/global/en/home/press-releases/siemens-gamesa-reinforces-offshore-strategy-in-china-by-licensing-the-8-mw-direct-drive-technology.html</t>
  </si>
  <si>
    <t>Siemens Gamesa signs an agreement to supply up to 1 GW in Turkey</t>
  </si>
  <si>
    <t>https://www.siemensgamesa.com/global/en/home/press-releases/siemens-gamesa-signs-an-agreement-to-supply-up-to-1-gw-in-turkey.html</t>
  </si>
  <si>
    <t>Bosnia and Herzegovina</t>
  </si>
  <si>
    <t>Jelovaca</t>
  </si>
  <si>
    <t>Siemens Gamesa signs a new contract for the supply of 36 MW in Bosnia and Herzegovina</t>
  </si>
  <si>
    <t>https://www.siemensgamesa.com/global/en/home/press-releases/siemens-gamesa-signs-a-new-contract-for-the-supply-of-36-mw-in-bosnia-and-herzegovina.html</t>
  </si>
  <si>
    <t>Siemens Gamesa signals turnaround in India winning 326 MW wind power orders from multiple projects with different customers</t>
  </si>
  <si>
    <t>https://www.siemensgamesa.com/global/en/home/press-releases/siemens-gamesa-signals-turnaround-in-india-winning-326-mw-wind-power-orders-from-multiple-projects.html</t>
  </si>
  <si>
    <t>Midway</t>
  </si>
  <si>
    <t>Siemens Gamesa awarded two wind turbine projects totaling 330 MW of G132-3.465 MW turbines in the U.S.</t>
  </si>
  <si>
    <t>https://www.siemensgamesa.com/global/en/home/press-releases/siemens-gamesa-awarded-two-wind-turbine-projects-totaling-330-mw-of-g132-3465-mw-turbines-in-the-us.html</t>
  </si>
  <si>
    <t>Yangshugou</t>
  </si>
  <si>
    <t>Siemens Gamesa continues to grow in China, having signed two new agreements for the supply of 96 MW</t>
  </si>
  <si>
    <t>https://www.siemensgamesa.com/global/en/home/press-releases/siemens-gamesa-continues-to-grow-in-china-having-signed-two-new-agreements-for-the-supply-of-96-mw.html</t>
  </si>
  <si>
    <t>MW Saint Brieuc</t>
  </si>
  <si>
    <t>Siemens Gamesa to supply newest 8 MW direct-drive offshore turbine to 500 MW Saint Brieuc project in France</t>
  </si>
  <si>
    <t>https://www.siemensgamesa.com/global/en/home/press-releases/siemens-gamesa-to-supply-newest-8-mw-direct-drive-offshore-turbine-to-500-mw.html</t>
  </si>
  <si>
    <t>Egypt</t>
  </si>
  <si>
    <t>Suez</t>
  </si>
  <si>
    <t>New order in Egypt: Siemens Gamesa lands 262 MW turbine supply and 15-year maintenance contract</t>
  </si>
  <si>
    <t>https://www.siemensgamesa.com/global/en/home/press-releases/new-order-in-egypt-siemens-gamesa-lands-262-mw-turbine-supply-and-15-year-maintenance-contract.html</t>
  </si>
  <si>
    <t>Gaoithe</t>
  </si>
  <si>
    <t>Siemens Gamesa celebrates ‘the Strength of the Wind’ with firm 448 MW Scottish offshore order</t>
  </si>
  <si>
    <t>https://p3.aprimocdn.net/siemensenergy/3cc82e9f-e547-43c7-9591-b15400f3c848/press-release-siemens-gamesa-scottish-offhore-order-en-pdf_Original%20file.pdf</t>
  </si>
  <si>
    <t>Taiwan. The</t>
  </si>
  <si>
    <t>Siemens Gamesa named preferred supplier for 300 MW Hai Long 2 offshore wind project in Taiwan</t>
  </si>
  <si>
    <t>https://p3.aprimocdn.net/siemensenergy/076fbe81-1d0b-4e87-9a79-b15400f3bb8d/pressrelease-siemens-gamesa-Hai-Long-300MW-en-pdf_Original%20file.pdf</t>
  </si>
  <si>
    <t>MW Stavro</t>
  </si>
  <si>
    <t>Clean, green search for Google´s users, as Siemens Gamesa’s wind turbines in Sweden will power its data center</t>
  </si>
  <si>
    <t>https://p3.aprimocdn.net/siemensenergy/05f873f9-92fa-4364-a4cd-b15400f3d0fe/pressrelease-siemens-gamesa-stavro-sweden-en-pdf_Original%20file.pdf</t>
  </si>
  <si>
    <t>Three new contracts for 359 MW in Chile help Siemens Gamesa surpass a company country record</t>
  </si>
  <si>
    <t>https://p3.aprimocdn.net/siemensenergy/866f51b3-02e4-4118-8fc4-b15400f37f9f/pressrelease-siemens-gamesa-chile-record-pdf_Original%20file.pdf</t>
  </si>
  <si>
    <t>First</t>
  </si>
  <si>
    <t>First order for 200 MW supply contract in China for the Siemens Gamesa 4.X platform</t>
  </si>
  <si>
    <t>https://p3.aprimocdn.net/siemensenergy/23a1ec43-06bc-4c18-9e1f-b15400f3849f/pressrelease-siemens-gamesa-china-200-MW-TBEA-ENG-pdf_Original%20file.pdf</t>
  </si>
  <si>
    <t>MidAmerican</t>
  </si>
  <si>
    <t>MW Southern Hills Expansion</t>
  </si>
  <si>
    <t>Siemens Gamesa reinforces its partnership with MidAmerican with 95 MW Southern Hills Expansion project in the U.S.</t>
  </si>
  <si>
    <t>https://p3.aprimocdn.net/siemensenergy/cebaedb1-06b9-4854-ab40-b15400f35526/pressrelease-siemens-gamesa-southern-hill-100mw-usa-en-pdf_Original%20file.pdf</t>
  </si>
  <si>
    <t>Brennand Investimentos</t>
  </si>
  <si>
    <t>Siemens Gamesa signs first contract with Brennand Investimentos in Brazil for the supply of 94 MW</t>
  </si>
  <si>
    <t>https://www.siemensgamesa.com/global/en/home/press-releases/190724-siemens-gamesa-onshore-brennand-brazil.html</t>
  </si>
  <si>
    <t>Thanh Hai</t>
  </si>
  <si>
    <t>Siemens Gamesa will supply the SG 4.5-145 for its first nearshore project in Vietnam</t>
  </si>
  <si>
    <t>https://www.siemensgamesa.com/global/en/home/press-releases/190722-siemens-gamesa-nearshore-project-vietnam.html</t>
  </si>
  <si>
    <t>SG8.0-167 DD</t>
  </si>
  <si>
    <t>Taiwan. 47 SG8.0-167 DD offshore wind turbines to be provided 20-year full Servic</t>
  </si>
  <si>
    <t>Siemens Gamesa conditionally awarded order for 376 MW Formosa 2 offshore wind project in Taiwan</t>
  </si>
  <si>
    <t>https://www.siemensgamesa.com/global/en/home/press-releases/190617-formosa2-project-offshore-wind-taiwan.html</t>
  </si>
  <si>
    <t>Taiwan. Contract includes delivery of 80 SG 8.0-167 DD offshore wind turbines and</t>
  </si>
  <si>
    <t>Siemens Gamesa receives firm order for wpd’s 640 MW Yunlin offshore wind power project in Taiwan</t>
  </si>
  <si>
    <t>https://www.siemensgamesa.com/global/en/home/press-releases/190531-siemens-gamesa-news-contract-taiwan-640mw.html</t>
  </si>
  <si>
    <t>SG 2.7-129</t>
  </si>
  <si>
    <t>MW Milligan</t>
  </si>
  <si>
    <t>Siemens Gamesa reaches 1 GW sold of the SG 4.5-145 with 232 MW Milligan project for EDF Renewables in the USA</t>
  </si>
  <si>
    <t>https://www.siemensgamesa.com/global/en/home/press-releases/190522-siemens-gamesa-news-sg-4-5-145-for-the-milligan-wind-farm-in-the-usa.html</t>
  </si>
  <si>
    <t>Canada with an undisclosed customer. The order is for a nominal capacity of 194 M</t>
  </si>
  <si>
    <t>Siemens Gamesa receives a new order for 43 SG 4.5-145 turbines to be installed in Canada</t>
  </si>
  <si>
    <t>https://www.siemensgamesa.com/global/en/home/press-releases/190426-siemens-gamesa-news-onshore-turbines-sg-4-5-145-for-canada.html</t>
  </si>
  <si>
    <t>MW Coyote</t>
  </si>
  <si>
    <t>Siemens Gamesa secures two orders in the U.S. for its SG 4.5-145 wind turbine totaling 487 MW</t>
  </si>
  <si>
    <t>https://www.siemensgamesa.com/global/en/home/press-releases/190425-siemens-gamesa-news-onshore-order-usa-turbine-sg-4-5-145.html</t>
  </si>
  <si>
    <t>SWT-7.0-154 DD</t>
  </si>
  <si>
    <t>Le Havre. Siemens Gamesa remains fully committed to meeting the needs of all its</t>
  </si>
  <si>
    <t>Siemens Gamesa selected by Eolien Maritime France as preferred supplier to supply and service nearly 1 GW of offshore wind projects in France</t>
  </si>
  <si>
    <t>https://www.siemensgamesa.com/global/en/home/press-releases/190416-siemens-gamesa-france-offshore-new-project.html</t>
  </si>
  <si>
    <t>SG 10.0-193 DD</t>
  </si>
  <si>
    <t>MW Lillgrund</t>
  </si>
  <si>
    <t>Siemens Gamesa is on track with the new SG 10.0-193 DD wind turbine for the world’s first zero subsidy offshore wind farm</t>
  </si>
  <si>
    <t>https://www.siemensgamesa.com/global/en/home/press-releases/190415-siemens-gamesa-news-offshore-sg-10-0-193-dd-for-zero-subsidy-offshore-wind-farm.html</t>
  </si>
  <si>
    <t>Siemens Gamesa awarded financing certificate for its SG 3.4-132 onshore wind turbine in Brazil</t>
  </si>
  <si>
    <t>https://www.siemensgamesa.com/global/en/home/press-releases/21032019-siemens-gamesa-certificate-brazil.html</t>
  </si>
  <si>
    <t>State Power Investment Corporation</t>
  </si>
  <si>
    <t>China. The</t>
  </si>
  <si>
    <t>Siemens Gamesa to supply 21 MW in China, marking the first deal with State Power Investment Corporation</t>
  </si>
  <si>
    <t>https://www.siemensgamesa.com/global/en/home/press-releases/onshore-wind-power-plant-china-state-power-investment-corporation.html</t>
  </si>
  <si>
    <t>Navarra. This</t>
  </si>
  <si>
    <t>Siemens Gamesa reaffirms its leading position in Spain with new contracts to supply 200 MW</t>
  </si>
  <si>
    <t>https://www.siemensgamesa.com/global/en/home/press-releases/200-mw-in-spain-7-wind-farms.html</t>
  </si>
  <si>
    <t>Bhuj</t>
  </si>
  <si>
    <t>Siemens Gamesa will supply 567 MW to ReNew Power for two wind projects in India</t>
  </si>
  <si>
    <t>https://www.siemensgamesa.com/global/en/home/press-releases/india-576-mw-renew-power.html</t>
  </si>
  <si>
    <t>Voltalia</t>
  </si>
  <si>
    <t>Siemens Gamesa awarded order for 128 MW for a Voltalia wind project in Rio Grande do Norte, Brazil</t>
  </si>
  <si>
    <t>https://www.siemensgamesa.com/global/en/home/press-releases/onshore-wind-project-voltalia-rio-grande-do-norte-brazil.html</t>
  </si>
  <si>
    <t>Labraza wind farm (Basque Country)</t>
  </si>
  <si>
    <t>Iberdrola-related (reported by industry press)</t>
  </si>
  <si>
    <t xml:space="preserve">First reported order after the onshore restart; industry press reports the deal and turbine model/capacity. </t>
  </si>
  <si>
    <t>Gennaker offshore wind farm</t>
  </si>
  <si>
    <t>Skyborn Renewables</t>
  </si>
  <si>
    <t>SG 14-236</t>
  </si>
  <si>
    <t xml:space="preserve">Skyborn press release confirms turbine supply + long-term service agreement and gives the 63 turbines / 976.5 MW figure. </t>
  </si>
  <si>
    <t>BC-Wind offshore wind farm</t>
  </si>
  <si>
    <t>Ocean Winds</t>
  </si>
  <si>
    <t xml:space="preserve">Ocean Winds announcement confirms agreement with Siemens Gamesa; industry press repeats 26 turbines / 390 MW. </t>
  </si>
  <si>
    <t>Formosa 4 offshore wind farm</t>
  </si>
  <si>
    <t>Synera Renewable Energy (SRE)</t>
  </si>
  <si>
    <t>Article states 35 × 14 MW turbines selected for Formosa 4 and references the 495 MW project size</t>
  </si>
  <si>
    <t>28-12-2017</t>
  </si>
  <si>
    <t>20-12-2017</t>
  </si>
  <si>
    <t>29-11-2017</t>
  </si>
  <si>
    <t>27-11-2017</t>
  </si>
  <si>
    <t>03-10-2017</t>
  </si>
  <si>
    <t>28-09-2017</t>
  </si>
  <si>
    <t>26-09-2017</t>
  </si>
  <si>
    <t>20-09-2017</t>
  </si>
  <si>
    <t>17-09-2017</t>
  </si>
  <si>
    <t>24-07-2017</t>
  </si>
  <si>
    <t>14-07-2017</t>
  </si>
  <si>
    <t>11-12-2018</t>
  </si>
  <si>
    <t>10-12-2018</t>
  </si>
  <si>
    <t>04-12-2018</t>
  </si>
  <si>
    <t>03-12-2018</t>
  </si>
  <si>
    <t>30-11-2018</t>
  </si>
  <si>
    <t>31-10-2018</t>
  </si>
  <si>
    <t>25-10-2018</t>
  </si>
  <si>
    <t>05-10-2018</t>
  </si>
  <si>
    <t>03-10-2018</t>
  </si>
  <si>
    <t>24-09-2018</t>
  </si>
  <si>
    <t>10-08-2018</t>
  </si>
  <si>
    <t>09-08-2018</t>
  </si>
  <si>
    <t>03-08-2018</t>
  </si>
  <si>
    <t>11-07-2018</t>
  </si>
  <si>
    <t>09-07-2018</t>
  </si>
  <si>
    <t>28-06-2018</t>
  </si>
  <si>
    <t>27-06-2018</t>
  </si>
  <si>
    <t>26-04-2018</t>
  </si>
  <si>
    <t>25-04-2018</t>
  </si>
  <si>
    <t>19-04-2018</t>
  </si>
  <si>
    <t>17-04-2018</t>
  </si>
  <si>
    <t>16-04-2018</t>
  </si>
  <si>
    <t>10-04-2018</t>
  </si>
  <si>
    <t>04-04-2018</t>
  </si>
  <si>
    <t>20-03-2018</t>
  </si>
  <si>
    <t>15-03-2018</t>
  </si>
  <si>
    <t>02-03-2018</t>
  </si>
  <si>
    <t>27-02-2018</t>
  </si>
  <si>
    <t>21-02-2018</t>
  </si>
  <si>
    <t>22-01-2018</t>
  </si>
  <si>
    <t>18-01-2018</t>
  </si>
  <si>
    <t>17-01-2018</t>
  </si>
  <si>
    <t>10-01-2018</t>
  </si>
  <si>
    <t>03-01-2018</t>
  </si>
  <si>
    <t>28-11-2019</t>
  </si>
  <si>
    <t>13-11-2019</t>
  </si>
  <si>
    <t>07-11-2019</t>
  </si>
  <si>
    <t>17-10-2019</t>
  </si>
  <si>
    <t>04-10-2019</t>
  </si>
  <si>
    <t>28-08-2019</t>
  </si>
  <si>
    <t>24-07-2019</t>
  </si>
  <si>
    <t>22-07-2019</t>
  </si>
  <si>
    <t>17-06-2019</t>
  </si>
  <si>
    <t>31-05-2019</t>
  </si>
  <si>
    <t>22-05-2019</t>
  </si>
  <si>
    <t>26-04-2019</t>
  </si>
  <si>
    <t>25-04-2019</t>
  </si>
  <si>
    <t>16-04-2019</t>
  </si>
  <si>
    <t>15-04-2019</t>
  </si>
  <si>
    <t>21-03-2019</t>
  </si>
  <si>
    <t>28-02-2019</t>
  </si>
  <si>
    <t>05-02-2019</t>
  </si>
  <si>
    <t>31-01-2019</t>
  </si>
  <si>
    <t>24-01-2019</t>
  </si>
  <si>
    <t>Bałtyk II &amp; Bałtyk III offshore wind farms (combined)</t>
  </si>
  <si>
    <t>Equinor + Polenergia JV</t>
  </si>
  <si>
    <t>Final contracts signed (manufacture/supply/service)</t>
  </si>
  <si>
    <t>OffshoreWind.biz :contentReference[oaicite:8]{index=8}; Polenergia announcement :contentReference[oaicite:9]{index=9}</t>
  </si>
  <si>
    <t>Windanker offshore wind farm (Baltic Sea)</t>
  </si>
  <si>
    <t>Turbines stated for project; order wording varies by source (selection/contract context)</t>
  </si>
  <si>
    <t>OffshoreWind.biz :contentReference[oaicite:10]{index=10}; Iberdrola project page (model) :contentReference[oaicite:11]{index=11}</t>
  </si>
  <si>
    <t>Gennaker offshore wind farm (updated Master Supply Agreement)</t>
  </si>
  <si>
    <t>Updated Master Supply Agreement (precedes 2025 TSA; reported as turbine supply agreement/update)</t>
  </si>
  <si>
    <t>BalticWind.eu :contentReference[oaicite:12]{index=12}; Windpower Monthly roundup :contentReference[oaicite:13]{index=13}</t>
  </si>
  <si>
    <t>East Anglia TWO offshore wind farm</t>
  </si>
  <si>
    <t>United Kingdom (England)</t>
  </si>
  <si>
    <t>ScottishPower (Iberdrola)</t>
  </si>
  <si>
    <t>Turbine Supply Agreement / contract (~£1bn+ reported)</t>
  </si>
  <si>
    <t>Siemens Gamesa press release :contentReference[oaicite:14]{index=14}; Reuters :contentReference[oaicite:15]{index=15}; OffshoreWind.biz :contentReference[oaicite:16]{index=16}</t>
  </si>
  <si>
    <t>Employees</t>
  </si>
  <si>
    <t>net profit</t>
  </si>
  <si>
    <t>Total revenue (€m)</t>
  </si>
  <si>
    <t>Revenue - Turbines / New Units (€m)</t>
  </si>
  <si>
    <t>Revenue - Service (€m)</t>
  </si>
  <si>
    <t>Total order intake (€m)</t>
  </si>
  <si>
    <t>Order intake - Service (€m)</t>
  </si>
  <si>
    <t>FY26</t>
  </si>
  <si>
    <t>FY25</t>
  </si>
  <si>
    <t>FY24</t>
  </si>
  <si>
    <t>FY23</t>
  </si>
  <si>
    <t>WTG volume [MW] onshore</t>
  </si>
  <si>
    <t>WTG volume [MW] offshore</t>
  </si>
  <si>
    <t>Fleet</t>
  </si>
  <si>
    <t>under maintanance - total</t>
  </si>
  <si>
    <t>under maintanance -onshore</t>
  </si>
  <si>
    <t>under maintanance -offshore</t>
  </si>
  <si>
    <t>Total order onshore(€m)</t>
  </si>
  <si>
    <t>Total order offshore(€m)</t>
  </si>
  <si>
    <t>SG 4.3-130</t>
  </si>
  <si>
    <t>SG 7.0-170</t>
  </si>
  <si>
    <t>Yinson Renewables</t>
  </si>
  <si>
    <t>GETEC green energy</t>
  </si>
  <si>
    <t>Stadtwerke Münster</t>
  </si>
  <si>
    <t>Wind farm expected to generate over 300 GWh annually once operational</t>
  </si>
  <si>
    <t>First SG 7.0-170 orders in Germany; article notes combined installation and maintenance</t>
  </si>
  <si>
    <t>Expected annual production of 130 GWh; 6 turbines 250 m tall; will power ~42,000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</si>
</sst>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1"/>
    <xf numFmtId="0" fontId="0" fillId="0" borderId="1" xfId="0" applyBorder="1"/>
    <xf numFmtId="3" fontId="0" fillId="0" borderId="0" xfId="0" applyNumberFormat="1"/>
    <xf numFmtId="0" fontId="0" fillId="0" borderId="3" xfId="0" applyBorder="1"/>
    <xf numFmtId="0" fontId="0" fillId="0" borderId="5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64" fontId="0" fillId="0" borderId="0" xfId="0" applyNumberFormat="1"/>
    <xf numFmtId="164" fontId="0" fillId="0" borderId="1" xfId="0" applyNumberFormat="1" applyBorder="1"/>
    <xf numFmtId="10" fontId="0" fillId="0" borderId="4" xfId="0" applyNumberFormat="1" applyBorder="1"/>
    <xf numFmtId="10" fontId="0" fillId="0" borderId="6" xfId="0" applyNumberFormat="1" applyBorder="1"/>
    <xf numFmtId="165" fontId="0" fillId="0" borderId="0" xfId="0" applyNumberFormat="1"/>
    <xf numFmtId="1" fontId="0" fillId="0" borderId="4" xfId="0" applyNumberFormat="1" applyBorder="1"/>
    <xf numFmtId="1" fontId="0" fillId="0" borderId="6" xfId="0" applyNumberFormat="1" applyBorder="1"/>
    <xf numFmtId="0" fontId="1" fillId="0" borderId="3" xfId="0" applyFont="1" applyBorder="1"/>
    <xf numFmtId="0" fontId="1" fillId="0" borderId="5" xfId="0" applyFont="1" applyBorder="1"/>
    <xf numFmtId="0" fontId="6" fillId="0" borderId="2" xfId="0" applyFont="1" applyBorder="1" applyAlignment="1">
      <alignment horizontal="center" vertical="top"/>
    </xf>
    <xf numFmtId="0" fontId="0" fillId="0" borderId="0" xfId="0" applyBorder="1"/>
    <xf numFmtId="14" fontId="0" fillId="0" borderId="0" xfId="0" applyNumberFormat="1" applyBorder="1"/>
    <xf numFmtId="0" fontId="2" fillId="0" borderId="0" xfId="0" applyFont="1" applyBorder="1"/>
    <xf numFmtId="0" fontId="3" fillId="0" borderId="0" xfId="0" applyFont="1" applyBorder="1"/>
    <xf numFmtId="1" fontId="0" fillId="0" borderId="0" xfId="0" applyNumberFormat="1" applyBorder="1"/>
    <xf numFmtId="0" fontId="1" fillId="0" borderId="0" xfId="0" applyFont="1" applyBorder="1"/>
    <xf numFmtId="3" fontId="0" fillId="0" borderId="0" xfId="0" applyNumberFormat="1" applyBorder="1"/>
    <xf numFmtId="10" fontId="0" fillId="0" borderId="0" xfId="0" applyNumberFormat="1" applyBorder="1"/>
    <xf numFmtId="164" fontId="0" fillId="0" borderId="0" xfId="0" applyNumberFormat="1" applyBorder="1"/>
    <xf numFmtId="165" fontId="0" fillId="0" borderId="0" xfId="0" applyNumberFormat="1" applyBorder="1"/>
    <xf numFmtId="15" fontId="0" fillId="0" borderId="0" xfId="0" applyNumberFormat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Average selling price SGRE onshore</a:t>
            </a:r>
            <a:r>
              <a:rPr lang="da-DK" baseline="0"/>
              <a:t> €/W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economy!$C$5:$AC$6</c:f>
              <c:multiLvlStrCache>
                <c:ptCount val="27"/>
                <c:lvl>
                  <c:pt idx="0">
                    <c:v>q3</c:v>
                  </c:pt>
                  <c:pt idx="1">
                    <c:v>q2</c:v>
                  </c:pt>
                  <c:pt idx="2">
                    <c:v>q1</c:v>
                  </c:pt>
                  <c:pt idx="3">
                    <c:v>q4</c:v>
                  </c:pt>
                  <c:pt idx="4">
                    <c:v>q3</c:v>
                  </c:pt>
                  <c:pt idx="5">
                    <c:v>q2</c:v>
                  </c:pt>
                  <c:pt idx="6">
                    <c:v>q1</c:v>
                  </c:pt>
                  <c:pt idx="7">
                    <c:v>q4</c:v>
                  </c:pt>
                  <c:pt idx="8">
                    <c:v>q3</c:v>
                  </c:pt>
                  <c:pt idx="9">
                    <c:v>q2</c:v>
                  </c:pt>
                  <c:pt idx="10">
                    <c:v>q1</c:v>
                  </c:pt>
                  <c:pt idx="11">
                    <c:v>q4</c:v>
                  </c:pt>
                  <c:pt idx="12">
                    <c:v>q3</c:v>
                  </c:pt>
                  <c:pt idx="13">
                    <c:v>q2</c:v>
                  </c:pt>
                  <c:pt idx="14">
                    <c:v>q1</c:v>
                  </c:pt>
                  <c:pt idx="15">
                    <c:v>q4</c:v>
                  </c:pt>
                  <c:pt idx="16">
                    <c:v>q3</c:v>
                  </c:pt>
                  <c:pt idx="17">
                    <c:v>q2</c:v>
                  </c:pt>
                  <c:pt idx="18">
                    <c:v>q1</c:v>
                  </c:pt>
                  <c:pt idx="19">
                    <c:v>q4</c:v>
                  </c:pt>
                  <c:pt idx="20">
                    <c:v>q3</c:v>
                  </c:pt>
                  <c:pt idx="21">
                    <c:v>q2</c:v>
                  </c:pt>
                  <c:pt idx="22">
                    <c:v>q1</c:v>
                  </c:pt>
                  <c:pt idx="23">
                    <c:v>q4</c:v>
                  </c:pt>
                  <c:pt idx="24">
                    <c:v>q3</c:v>
                  </c:pt>
                  <c:pt idx="25">
                    <c:v>q2</c:v>
                  </c:pt>
                  <c:pt idx="26">
                    <c:v>q1</c:v>
                  </c:pt>
                </c:lvl>
                <c:lvl>
                  <c:pt idx="0">
                    <c:v>2022</c:v>
                  </c:pt>
                  <c:pt idx="4">
                    <c:v>2021</c:v>
                  </c:pt>
                  <c:pt idx="8">
                    <c:v>2020</c:v>
                  </c:pt>
                  <c:pt idx="12">
                    <c:v>2019</c:v>
                  </c:pt>
                  <c:pt idx="16">
                    <c:v>2018</c:v>
                  </c:pt>
                  <c:pt idx="20">
                    <c:v>2017</c:v>
                  </c:pt>
                  <c:pt idx="24">
                    <c:v>2016</c:v>
                  </c:pt>
                </c:lvl>
              </c:multiLvlStrCache>
            </c:multiLvlStrRef>
          </c:cat>
          <c:val>
            <c:numRef>
              <c:f>economy!$C$24:$AC$24</c:f>
              <c:numCache>
                <c:formatCode>General</c:formatCode>
                <c:ptCount val="27"/>
                <c:pt idx="0">
                  <c:v>0.83</c:v>
                </c:pt>
                <c:pt idx="1">
                  <c:v>0.89</c:v>
                </c:pt>
                <c:pt idx="2">
                  <c:v>0.82</c:v>
                </c:pt>
                <c:pt idx="3">
                  <c:v>0.76</c:v>
                </c:pt>
                <c:pt idx="4">
                  <c:v>0.63</c:v>
                </c:pt>
                <c:pt idx="5">
                  <c:v>0.63</c:v>
                </c:pt>
                <c:pt idx="6">
                  <c:v>0.63</c:v>
                </c:pt>
                <c:pt idx="7">
                  <c:v>0.69</c:v>
                </c:pt>
                <c:pt idx="8">
                  <c:v>0.63</c:v>
                </c:pt>
                <c:pt idx="9">
                  <c:v>0.73</c:v>
                </c:pt>
                <c:pt idx="10">
                  <c:v>0.78</c:v>
                </c:pt>
                <c:pt idx="11">
                  <c:v>0.63</c:v>
                </c:pt>
                <c:pt idx="12">
                  <c:v>0.71</c:v>
                </c:pt>
                <c:pt idx="13">
                  <c:v>0.8</c:v>
                </c:pt>
                <c:pt idx="14">
                  <c:v>0.67</c:v>
                </c:pt>
                <c:pt idx="15">
                  <c:v>0.75</c:v>
                </c:pt>
                <c:pt idx="16">
                  <c:v>0.7</c:v>
                </c:pt>
                <c:pt idx="17">
                  <c:v>0.74</c:v>
                </c:pt>
                <c:pt idx="18">
                  <c:v>0.72</c:v>
                </c:pt>
                <c:pt idx="19">
                  <c:v>0.87</c:v>
                </c:pt>
                <c:pt idx="20">
                  <c:v>0.92</c:v>
                </c:pt>
                <c:pt idx="21">
                  <c:v>0.86</c:v>
                </c:pt>
                <c:pt idx="22">
                  <c:v>0.98</c:v>
                </c:pt>
                <c:pt idx="23">
                  <c:v>0.95</c:v>
                </c:pt>
                <c:pt idx="24">
                  <c:v>0.91</c:v>
                </c:pt>
                <c:pt idx="25">
                  <c:v>0.91</c:v>
                </c:pt>
                <c:pt idx="26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1-4308-B0E8-E3C3EA1BB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685360"/>
        <c:axId val="745686192"/>
      </c:lineChart>
      <c:catAx>
        <c:axId val="7456853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5686192"/>
        <c:crosses val="autoZero"/>
        <c:auto val="1"/>
        <c:lblAlgn val="ctr"/>
        <c:lblOffset val="100"/>
        <c:noMultiLvlLbl val="0"/>
      </c:catAx>
      <c:valAx>
        <c:axId val="745686192"/>
        <c:scaling>
          <c:orientation val="minMax"/>
          <c:min val="0.60000000000000009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568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Siemens Gamesa region</a:t>
            </a:r>
            <a:r>
              <a:rPr lang="da-DK" baseline="0"/>
              <a:t> share (year of contract)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plots!$C$5</c:f>
              <c:strCache>
                <c:ptCount val="1"/>
                <c:pt idx="0">
                  <c:v>AF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plots!$D$4:$F$4</c:f>
              <c:numCache>
                <c:formatCode>General</c:formatCode>
                <c:ptCount val="3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</c:numCache>
            </c:numRef>
          </c:cat>
          <c:val>
            <c:numRef>
              <c:f>plots!$D$5:$F$5</c:f>
              <c:numCache>
                <c:formatCode>0.0%</c:formatCode>
                <c:ptCount val="3"/>
                <c:pt idx="1">
                  <c:v>0</c:v>
                </c:pt>
                <c:pt idx="2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5-4A56-892C-560F40EDBA87}"/>
            </c:ext>
          </c:extLst>
        </c:ser>
        <c:ser>
          <c:idx val="1"/>
          <c:order val="1"/>
          <c:tx>
            <c:strRef>
              <c:f>plots!$C$6</c:f>
              <c:strCache>
                <c:ptCount val="1"/>
                <c:pt idx="0">
                  <c:v>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plots!$D$4:$F$4</c:f>
              <c:numCache>
                <c:formatCode>General</c:formatCode>
                <c:ptCount val="3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</c:numCache>
            </c:numRef>
          </c:cat>
          <c:val>
            <c:numRef>
              <c:f>plots!$D$6:$F$6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5-4A56-892C-560F40EDBA87}"/>
            </c:ext>
          </c:extLst>
        </c:ser>
        <c:ser>
          <c:idx val="2"/>
          <c:order val="2"/>
          <c:tx>
            <c:strRef>
              <c:f>plots!$C$7</c:f>
              <c:strCache>
                <c:ptCount val="1"/>
                <c:pt idx="0">
                  <c:v>AU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plots!$D$4:$F$4</c:f>
              <c:numCache>
                <c:formatCode>General</c:formatCode>
                <c:ptCount val="3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</c:numCache>
            </c:numRef>
          </c:cat>
          <c:val>
            <c:numRef>
              <c:f>plots!$D$7:$F$7</c:f>
              <c:numCache>
                <c:formatCode>0.0%</c:formatCode>
                <c:ptCount val="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5-4A56-892C-560F40EDBA87}"/>
            </c:ext>
          </c:extLst>
        </c:ser>
        <c:ser>
          <c:idx val="3"/>
          <c:order val="3"/>
          <c:tx>
            <c:strRef>
              <c:f>plots!$C$8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plots!$D$4:$F$4</c:f>
              <c:numCache>
                <c:formatCode>General</c:formatCode>
                <c:ptCount val="3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</c:numCache>
            </c:numRef>
          </c:cat>
          <c:val>
            <c:numRef>
              <c:f>plots!$D$8:$F$8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5-4A56-892C-560F40EDBA87}"/>
            </c:ext>
          </c:extLst>
        </c:ser>
        <c:ser>
          <c:idx val="4"/>
          <c:order val="4"/>
          <c:tx>
            <c:strRef>
              <c:f>plots!$C$9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plots!$D$4:$F$4</c:f>
              <c:numCache>
                <c:formatCode>General</c:formatCode>
                <c:ptCount val="3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</c:numCache>
            </c:numRef>
          </c:cat>
          <c:val>
            <c:numRef>
              <c:f>plots!$D$9:$F$9</c:f>
              <c:numCache>
                <c:formatCode>0.0%</c:formatCode>
                <c:ptCount val="3"/>
                <c:pt idx="1">
                  <c:v>0</c:v>
                </c:pt>
                <c:pt idx="2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5-4A56-892C-560F40EDBA87}"/>
            </c:ext>
          </c:extLst>
        </c:ser>
        <c:ser>
          <c:idx val="5"/>
          <c:order val="5"/>
          <c:tx>
            <c:strRef>
              <c:f>plots!$C$10</c:f>
              <c:strCache>
                <c:ptCount val="1"/>
                <c:pt idx="0">
                  <c:v>SA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plots!$D$4:$F$4</c:f>
              <c:numCache>
                <c:formatCode>General</c:formatCode>
                <c:ptCount val="3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</c:numCache>
            </c:numRef>
          </c:cat>
          <c:val>
            <c:numRef>
              <c:f>plots!$D$10:$F$10</c:f>
              <c:numCache>
                <c:formatCode>0.0%</c:formatCode>
                <c:ptCount val="3"/>
                <c:pt idx="1">
                  <c:v>0</c:v>
                </c:pt>
                <c:pt idx="2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F5-4A56-892C-560F40EDBA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14345392"/>
        <c:axId val="314338736"/>
      </c:barChart>
      <c:catAx>
        <c:axId val="31434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14338736"/>
        <c:crosses val="autoZero"/>
        <c:auto val="1"/>
        <c:lblAlgn val="ctr"/>
        <c:lblOffset val="100"/>
        <c:noMultiLvlLbl val="0"/>
      </c:catAx>
      <c:valAx>
        <c:axId val="314338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1434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571500</xdr:colOff>
      <xdr:row>31</xdr:row>
      <xdr:rowOff>71437</xdr:rowOff>
    </xdr:from>
    <xdr:to>
      <xdr:col>21</xdr:col>
      <xdr:colOff>266700</xdr:colOff>
      <xdr:row>45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769F87-4086-EA8F-ACB6-2F75F7FF0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2</xdr:row>
      <xdr:rowOff>128587</xdr:rowOff>
    </xdr:from>
    <xdr:to>
      <xdr:col>19</xdr:col>
      <xdr:colOff>142875</xdr:colOff>
      <xdr:row>26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3F1AF5-5588-A559-6A8D-52C35E8DD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iemensgamesa.com/en-int/-/media/siemensgamesa/downloads/en/newsroom/2023/01/siemens-gamesa-press-release-offshore-wind-plant-thor-denmark.pd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iemensgamesa.com/newsroom/2022/08/081122-siemens-gamesa-press-release-azure-india-onshore-project" TargetMode="External"/><Relationship Id="rId2" Type="http://schemas.openxmlformats.org/officeDocument/2006/relationships/hyperlink" Target="https://www.siemensgamesa.com/newsroom/2022/01/220118-siemens-gamesa-press-release-siemens-gamesa-press-release-iberdrola-spain-5x-onshore" TargetMode="External"/><Relationship Id="rId1" Type="http://schemas.openxmlformats.org/officeDocument/2006/relationships/hyperlink" Target="https://www.siemensgamesa.com/newsroom/2022/10/102022-siemens-gamesa-press-release-onshore-finland-mikonkeidas-energiequelle" TargetMode="External"/><Relationship Id="rId4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siemensgamesa.com/newsroom/2021/12/211230-siemens-gamesa-press-release-deal-eolus-hydro-rein-sweden-5x" TargetMode="External"/><Relationship Id="rId1" Type="http://schemas.openxmlformats.org/officeDocument/2006/relationships/hyperlink" Target="https://www.siemensgamesa.com/newsroom/2021/12/211220-siemens-gamesa-press-release-offshore-dominion-energy-usa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siemensgamesa.com/newsroom/2020/06/200622-siemens-gamesa-press-release-wind-farm-coesfeld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emensgamesa.com/newsroom/2021/12/211230-siemens-gamesa-press-release-deal-eolus-hydro-rein-sweden-5x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emensgamesa.com/newsroom/2022/10/102022-siemens-gamesa-press-release-onshore-finland-mikonkeidas-energieque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C61"/>
  <sheetViews>
    <sheetView workbookViewId="0">
      <pane xSplit="1" topLeftCell="H1" activePane="topRight" state="frozen"/>
      <selection pane="topRight" activeCell="G51" sqref="G51"/>
    </sheetView>
  </sheetViews>
  <sheetFormatPr defaultRowHeight="15" x14ac:dyDescent="0.25"/>
  <cols>
    <col min="1" max="1" width="27.42578125" bestFit="1" customWidth="1"/>
  </cols>
  <sheetData>
    <row r="3" spans="1:29" x14ac:dyDescent="0.25">
      <c r="C3" t="s">
        <v>55</v>
      </c>
    </row>
    <row r="5" spans="1:29" x14ac:dyDescent="0.25">
      <c r="C5">
        <v>2022</v>
      </c>
      <c r="G5">
        <v>2021</v>
      </c>
      <c r="K5">
        <v>2020</v>
      </c>
      <c r="O5">
        <v>2019</v>
      </c>
      <c r="S5">
        <v>2018</v>
      </c>
      <c r="W5">
        <v>2017</v>
      </c>
      <c r="AA5">
        <v>2016</v>
      </c>
    </row>
    <row r="6" spans="1:29" x14ac:dyDescent="0.25">
      <c r="B6" t="s">
        <v>36</v>
      </c>
      <c r="C6" t="s">
        <v>37</v>
      </c>
      <c r="D6" t="s">
        <v>38</v>
      </c>
      <c r="E6" t="s">
        <v>39</v>
      </c>
      <c r="F6" t="s">
        <v>36</v>
      </c>
      <c r="G6" t="s">
        <v>37</v>
      </c>
      <c r="H6" t="s">
        <v>38</v>
      </c>
      <c r="I6" t="s">
        <v>39</v>
      </c>
      <c r="J6" t="s">
        <v>36</v>
      </c>
      <c r="K6" t="s">
        <v>37</v>
      </c>
      <c r="L6" t="s">
        <v>38</v>
      </c>
      <c r="M6" t="s">
        <v>39</v>
      </c>
      <c r="N6" t="s">
        <v>36</v>
      </c>
      <c r="O6" t="s">
        <v>37</v>
      </c>
      <c r="P6" t="s">
        <v>38</v>
      </c>
      <c r="Q6" t="s">
        <v>39</v>
      </c>
      <c r="R6" t="s">
        <v>36</v>
      </c>
      <c r="S6" t="s">
        <v>37</v>
      </c>
      <c r="T6" t="s">
        <v>38</v>
      </c>
      <c r="U6" t="s">
        <v>39</v>
      </c>
      <c r="V6" t="s">
        <v>36</v>
      </c>
      <c r="W6" t="s">
        <v>37</v>
      </c>
      <c r="X6" t="s">
        <v>38</v>
      </c>
      <c r="Y6" t="s">
        <v>39</v>
      </c>
      <c r="Z6" t="s">
        <v>36</v>
      </c>
      <c r="AA6" t="s">
        <v>37</v>
      </c>
      <c r="AB6" t="s">
        <v>38</v>
      </c>
      <c r="AC6" t="s">
        <v>39</v>
      </c>
    </row>
    <row r="7" spans="1:29" x14ac:dyDescent="0.25">
      <c r="A7" t="s">
        <v>40</v>
      </c>
      <c r="C7">
        <v>9814</v>
      </c>
    </row>
    <row r="8" spans="1:29" x14ac:dyDescent="0.25">
      <c r="A8" t="s">
        <v>41</v>
      </c>
      <c r="C8">
        <v>-940</v>
      </c>
    </row>
    <row r="9" spans="1:29" x14ac:dyDescent="0.25">
      <c r="A9" t="s">
        <v>42</v>
      </c>
      <c r="C9">
        <v>35051</v>
      </c>
    </row>
    <row r="10" spans="1:29" x14ac:dyDescent="0.25">
      <c r="A10" t="s">
        <v>48</v>
      </c>
      <c r="C10">
        <v>4405</v>
      </c>
    </row>
    <row r="11" spans="1:29" x14ac:dyDescent="0.25">
      <c r="A11" t="s">
        <v>257</v>
      </c>
      <c r="C11">
        <v>1743</v>
      </c>
      <c r="D11">
        <v>1068</v>
      </c>
      <c r="E11">
        <v>209</v>
      </c>
      <c r="F11">
        <v>1361</v>
      </c>
      <c r="G11">
        <v>867</v>
      </c>
      <c r="H11">
        <v>840</v>
      </c>
      <c r="I11">
        <v>1381</v>
      </c>
      <c r="J11">
        <v>1619</v>
      </c>
    </row>
    <row r="12" spans="1:29" x14ac:dyDescent="0.25">
      <c r="A12" t="s">
        <v>258</v>
      </c>
      <c r="C12">
        <v>1566</v>
      </c>
      <c r="D12">
        <v>2094</v>
      </c>
      <c r="E12">
        <v>321</v>
      </c>
      <c r="F12">
        <v>416</v>
      </c>
      <c r="G12">
        <v>888</v>
      </c>
      <c r="H12">
        <v>146</v>
      </c>
      <c r="I12">
        <v>2877</v>
      </c>
      <c r="J12">
        <v>157</v>
      </c>
    </row>
    <row r="13" spans="1:29" x14ac:dyDescent="0.25">
      <c r="A13" t="s">
        <v>259</v>
      </c>
      <c r="C13">
        <v>1097</v>
      </c>
      <c r="D13">
        <v>361</v>
      </c>
      <c r="E13">
        <v>669</v>
      </c>
      <c r="F13">
        <v>695</v>
      </c>
      <c r="G13">
        <v>1129</v>
      </c>
      <c r="H13">
        <v>534</v>
      </c>
      <c r="I13">
        <v>1242</v>
      </c>
      <c r="J13">
        <v>505</v>
      </c>
    </row>
    <row r="14" spans="1:29" x14ac:dyDescent="0.25">
      <c r="A14" t="s">
        <v>260</v>
      </c>
      <c r="G14">
        <v>2223</v>
      </c>
      <c r="H14">
        <v>2404</v>
      </c>
      <c r="I14">
        <v>1927</v>
      </c>
      <c r="J14">
        <v>1744</v>
      </c>
      <c r="K14">
        <v>2433</v>
      </c>
      <c r="L14">
        <v>1876</v>
      </c>
      <c r="M14">
        <v>1649</v>
      </c>
      <c r="N14">
        <v>1747</v>
      </c>
      <c r="V14">
        <v>2167</v>
      </c>
      <c r="W14">
        <v>693</v>
      </c>
      <c r="X14">
        <v>1599</v>
      </c>
      <c r="Y14">
        <v>1882</v>
      </c>
      <c r="Z14">
        <v>2063</v>
      </c>
      <c r="AA14">
        <v>1662</v>
      </c>
      <c r="AB14">
        <v>1528</v>
      </c>
      <c r="AC14">
        <v>1781</v>
      </c>
    </row>
    <row r="15" spans="1:29" x14ac:dyDescent="0.25">
      <c r="A15" t="s">
        <v>261</v>
      </c>
      <c r="G15">
        <v>558</v>
      </c>
      <c r="H15">
        <v>675</v>
      </c>
      <c r="I15">
        <v>730</v>
      </c>
      <c r="J15">
        <v>734</v>
      </c>
      <c r="K15">
        <v>793</v>
      </c>
      <c r="L15">
        <v>751</v>
      </c>
      <c r="M15">
        <v>534</v>
      </c>
      <c r="N15">
        <v>185</v>
      </c>
      <c r="V15">
        <v>366</v>
      </c>
      <c r="W15">
        <v>754</v>
      </c>
      <c r="X15">
        <v>948</v>
      </c>
      <c r="Y15">
        <v>28</v>
      </c>
      <c r="Z15">
        <v>294</v>
      </c>
      <c r="AA15">
        <v>574</v>
      </c>
      <c r="AB15">
        <v>112</v>
      </c>
      <c r="AC15">
        <v>752</v>
      </c>
    </row>
    <row r="16" spans="1:29" x14ac:dyDescent="0.25">
      <c r="B16">
        <f t="shared" ref="B16:AB16" si="0">B15+B14</f>
        <v>0</v>
      </c>
      <c r="C16">
        <f t="shared" si="0"/>
        <v>0</v>
      </c>
      <c r="D16">
        <f t="shared" si="0"/>
        <v>0</v>
      </c>
      <c r="E16">
        <f t="shared" si="0"/>
        <v>0</v>
      </c>
      <c r="F16">
        <f t="shared" si="0"/>
        <v>0</v>
      </c>
      <c r="G16">
        <f t="shared" si="0"/>
        <v>2781</v>
      </c>
      <c r="H16">
        <f t="shared" si="0"/>
        <v>3079</v>
      </c>
      <c r="I16">
        <f t="shared" si="0"/>
        <v>2657</v>
      </c>
      <c r="J16">
        <f t="shared" si="0"/>
        <v>2478</v>
      </c>
      <c r="K16">
        <f t="shared" si="0"/>
        <v>3226</v>
      </c>
      <c r="L16">
        <f t="shared" si="0"/>
        <v>2627</v>
      </c>
      <c r="M16">
        <f t="shared" si="0"/>
        <v>2183</v>
      </c>
      <c r="N16">
        <f t="shared" si="0"/>
        <v>1932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T16">
        <f t="shared" si="0"/>
        <v>0</v>
      </c>
      <c r="U16">
        <f t="shared" si="0"/>
        <v>0</v>
      </c>
      <c r="V16">
        <f t="shared" si="0"/>
        <v>2533</v>
      </c>
      <c r="W16">
        <f t="shared" si="0"/>
        <v>1447</v>
      </c>
      <c r="X16">
        <f t="shared" si="0"/>
        <v>2547</v>
      </c>
      <c r="Y16">
        <f t="shared" si="0"/>
        <v>1910</v>
      </c>
      <c r="Z16">
        <f t="shared" si="0"/>
        <v>2357</v>
      </c>
      <c r="AA16">
        <f t="shared" si="0"/>
        <v>2236</v>
      </c>
      <c r="AB16">
        <f t="shared" si="0"/>
        <v>1640</v>
      </c>
      <c r="AC16">
        <f>AC15+AC14</f>
        <v>2533</v>
      </c>
    </row>
    <row r="17" spans="1:29" x14ac:dyDescent="0.25">
      <c r="A17" t="s">
        <v>612</v>
      </c>
      <c r="C17">
        <v>127476</v>
      </c>
    </row>
    <row r="18" spans="1:29" x14ac:dyDescent="0.25">
      <c r="A18" t="s">
        <v>613</v>
      </c>
      <c r="V18">
        <f t="shared" ref="V18:AB18" si="1">V19+V20</f>
        <v>55173</v>
      </c>
      <c r="W18">
        <f t="shared" si="1"/>
        <v>53643</v>
      </c>
      <c r="X18">
        <f t="shared" si="1"/>
        <v>53358</v>
      </c>
      <c r="Y18">
        <f t="shared" si="1"/>
        <v>50734</v>
      </c>
      <c r="Z18">
        <f t="shared" si="1"/>
        <v>49098</v>
      </c>
      <c r="AA18">
        <f t="shared" si="1"/>
        <v>47598</v>
      </c>
      <c r="AB18">
        <f t="shared" si="1"/>
        <v>46902</v>
      </c>
      <c r="AC18">
        <f>AC19+AC20</f>
        <v>45123</v>
      </c>
    </row>
    <row r="19" spans="1:29" x14ac:dyDescent="0.25">
      <c r="A19" t="s">
        <v>614</v>
      </c>
      <c r="V19">
        <v>46629</v>
      </c>
      <c r="W19">
        <v>45976</v>
      </c>
      <c r="X19">
        <v>46111</v>
      </c>
      <c r="Y19">
        <v>43192</v>
      </c>
      <c r="Z19">
        <v>41748</v>
      </c>
      <c r="AA19">
        <v>41062</v>
      </c>
      <c r="AB19">
        <v>40844</v>
      </c>
      <c r="AC19">
        <v>39469</v>
      </c>
    </row>
    <row r="20" spans="1:29" x14ac:dyDescent="0.25">
      <c r="A20" t="s">
        <v>615</v>
      </c>
      <c r="C20">
        <v>82276</v>
      </c>
      <c r="V20">
        <v>8544</v>
      </c>
      <c r="W20">
        <v>7667</v>
      </c>
      <c r="X20">
        <v>7247</v>
      </c>
      <c r="Y20">
        <v>7542</v>
      </c>
      <c r="Z20">
        <v>7350</v>
      </c>
      <c r="AA20">
        <v>6536</v>
      </c>
      <c r="AB20">
        <v>6058</v>
      </c>
      <c r="AC20">
        <v>5654</v>
      </c>
    </row>
    <row r="21" spans="1:29" x14ac:dyDescent="0.25">
      <c r="A21" t="s">
        <v>43</v>
      </c>
    </row>
    <row r="22" spans="1:29" x14ac:dyDescent="0.25">
      <c r="A22" t="s">
        <v>44</v>
      </c>
    </row>
    <row r="23" spans="1:29" x14ac:dyDescent="0.25">
      <c r="A23" t="s">
        <v>45</v>
      </c>
    </row>
    <row r="24" spans="1:29" x14ac:dyDescent="0.25">
      <c r="A24" t="s">
        <v>46</v>
      </c>
      <c r="C24">
        <v>0.83</v>
      </c>
      <c r="D24">
        <v>0.89</v>
      </c>
      <c r="E24">
        <v>0.82</v>
      </c>
      <c r="F24">
        <v>0.76</v>
      </c>
      <c r="G24">
        <v>0.63</v>
      </c>
      <c r="H24">
        <v>0.63</v>
      </c>
      <c r="I24">
        <v>0.63</v>
      </c>
      <c r="J24">
        <v>0.69</v>
      </c>
      <c r="K24">
        <v>0.63</v>
      </c>
      <c r="L24">
        <v>0.73</v>
      </c>
      <c r="M24">
        <v>0.78</v>
      </c>
      <c r="N24">
        <v>0.63</v>
      </c>
      <c r="O24">
        <v>0.71</v>
      </c>
      <c r="P24">
        <v>0.8</v>
      </c>
      <c r="Q24">
        <v>0.67</v>
      </c>
      <c r="R24">
        <v>0.75</v>
      </c>
      <c r="S24">
        <v>0.7</v>
      </c>
      <c r="T24">
        <v>0.74</v>
      </c>
      <c r="U24">
        <v>0.72</v>
      </c>
      <c r="V24">
        <v>0.87</v>
      </c>
      <c r="W24">
        <v>0.92</v>
      </c>
      <c r="X24">
        <v>0.86</v>
      </c>
      <c r="Y24">
        <v>0.98</v>
      </c>
      <c r="Z24">
        <v>0.95</v>
      </c>
      <c r="AA24">
        <v>0.91</v>
      </c>
      <c r="AB24">
        <v>0.91</v>
      </c>
      <c r="AC24">
        <v>0.96</v>
      </c>
    </row>
    <row r="27" spans="1:29" x14ac:dyDescent="0.25">
      <c r="A27" t="s">
        <v>47</v>
      </c>
    </row>
    <row r="28" spans="1:29" x14ac:dyDescent="0.25">
      <c r="A28" t="s">
        <v>49</v>
      </c>
      <c r="C28">
        <v>73</v>
      </c>
      <c r="F28">
        <v>78</v>
      </c>
    </row>
    <row r="29" spans="1:29" x14ac:dyDescent="0.25">
      <c r="A29" t="s">
        <v>50</v>
      </c>
      <c r="C29">
        <v>3</v>
      </c>
      <c r="F29">
        <v>7</v>
      </c>
    </row>
    <row r="30" spans="1:29" x14ac:dyDescent="0.25">
      <c r="A30" t="s">
        <v>51</v>
      </c>
      <c r="C30">
        <v>25</v>
      </c>
      <c r="F30">
        <v>15</v>
      </c>
    </row>
    <row r="42" spans="1:12" x14ac:dyDescent="0.25">
      <c r="B42" t="s">
        <v>606</v>
      </c>
      <c r="C42" t="s">
        <v>607</v>
      </c>
      <c r="D42" t="s">
        <v>608</v>
      </c>
      <c r="E42" t="s">
        <v>609</v>
      </c>
      <c r="F42" t="s">
        <v>52</v>
      </c>
      <c r="G42" t="s">
        <v>53</v>
      </c>
      <c r="H42" t="s">
        <v>54</v>
      </c>
      <c r="I42" t="s">
        <v>253</v>
      </c>
      <c r="J42" t="s">
        <v>254</v>
      </c>
      <c r="K42" t="s">
        <v>255</v>
      </c>
      <c r="L42" t="s">
        <v>256</v>
      </c>
    </row>
    <row r="43" spans="1:12" x14ac:dyDescent="0.25">
      <c r="A43" t="s">
        <v>56</v>
      </c>
      <c r="F43">
        <v>0.82</v>
      </c>
      <c r="G43">
        <v>0.65</v>
      </c>
      <c r="H43">
        <v>0.67</v>
      </c>
      <c r="I43">
        <v>0.73</v>
      </c>
      <c r="J43">
        <v>0.73</v>
      </c>
    </row>
    <row r="44" spans="1:12" x14ac:dyDescent="0.25">
      <c r="A44" t="s">
        <v>601</v>
      </c>
      <c r="C44">
        <v>10375</v>
      </c>
      <c r="D44">
        <v>10008</v>
      </c>
      <c r="E44">
        <v>9092</v>
      </c>
      <c r="F44">
        <v>9814</v>
      </c>
      <c r="G44">
        <v>10198</v>
      </c>
      <c r="H44">
        <v>9483</v>
      </c>
      <c r="I44">
        <v>10227</v>
      </c>
      <c r="J44">
        <v>9122</v>
      </c>
      <c r="K44">
        <v>10964</v>
      </c>
      <c r="L44">
        <v>10441</v>
      </c>
    </row>
    <row r="45" spans="1:12" x14ac:dyDescent="0.25">
      <c r="A45" t="s">
        <v>602</v>
      </c>
      <c r="C45">
        <v>7996</v>
      </c>
      <c r="D45">
        <v>7564</v>
      </c>
      <c r="E45">
        <v>7032</v>
      </c>
      <c r="F45">
        <v>7618</v>
      </c>
      <c r="G45">
        <v>8272</v>
      </c>
      <c r="H45">
        <v>7715</v>
      </c>
      <c r="I45">
        <f>3508+5225</f>
        <v>8733</v>
      </c>
      <c r="J45">
        <v>7847</v>
      </c>
      <c r="K45">
        <v>9766</v>
      </c>
      <c r="L45">
        <v>9372</v>
      </c>
    </row>
    <row r="46" spans="1:12" x14ac:dyDescent="0.25">
      <c r="A46" t="s">
        <v>603</v>
      </c>
      <c r="C46">
        <v>2379</v>
      </c>
      <c r="D46">
        <v>2442</v>
      </c>
      <c r="E46">
        <v>2059</v>
      </c>
      <c r="F46">
        <v>2196</v>
      </c>
      <c r="G46">
        <v>1926</v>
      </c>
      <c r="H46">
        <v>1768</v>
      </c>
      <c r="I46">
        <v>1493</v>
      </c>
      <c r="J46">
        <v>1275</v>
      </c>
      <c r="K46">
        <v>1198</v>
      </c>
      <c r="L46">
        <v>1069</v>
      </c>
    </row>
    <row r="47" spans="1:12" x14ac:dyDescent="0.25">
      <c r="A47" t="s">
        <v>600</v>
      </c>
      <c r="C47">
        <v>-1711</v>
      </c>
      <c r="D47">
        <v>-1721</v>
      </c>
      <c r="E47">
        <v>-4439</v>
      </c>
      <c r="F47">
        <v>-940</v>
      </c>
      <c r="G47">
        <v>-627</v>
      </c>
      <c r="H47">
        <v>-918</v>
      </c>
      <c r="I47">
        <v>140</v>
      </c>
      <c r="J47">
        <v>70</v>
      </c>
    </row>
    <row r="48" spans="1:12" x14ac:dyDescent="0.25">
      <c r="A48" t="s">
        <v>57</v>
      </c>
      <c r="C48">
        <f t="shared" ref="C48:K48" si="2">C49+C50</f>
        <v>0</v>
      </c>
      <c r="D48">
        <f t="shared" si="2"/>
        <v>0</v>
      </c>
      <c r="E48">
        <f t="shared" si="2"/>
        <v>0</v>
      </c>
      <c r="F48">
        <f t="shared" si="2"/>
        <v>7652</v>
      </c>
      <c r="G48">
        <f t="shared" si="2"/>
        <v>10995</v>
      </c>
      <c r="H48">
        <f t="shared" si="2"/>
        <v>9968</v>
      </c>
      <c r="I48">
        <f t="shared" si="2"/>
        <v>9492</v>
      </c>
      <c r="J48">
        <f t="shared" si="2"/>
        <v>11234</v>
      </c>
      <c r="K48">
        <f t="shared" si="2"/>
        <v>8053</v>
      </c>
      <c r="L48">
        <f>L49+L50</f>
        <v>0</v>
      </c>
    </row>
    <row r="49" spans="1:12" x14ac:dyDescent="0.25">
      <c r="A49" t="s">
        <v>610</v>
      </c>
      <c r="F49">
        <v>4610</v>
      </c>
      <c r="G49">
        <v>8298</v>
      </c>
      <c r="H49">
        <v>7704</v>
      </c>
      <c r="I49">
        <v>6936</v>
      </c>
      <c r="J49">
        <v>8962</v>
      </c>
      <c r="K49">
        <v>6321</v>
      </c>
    </row>
    <row r="50" spans="1:12" x14ac:dyDescent="0.25">
      <c r="A50" t="s">
        <v>611</v>
      </c>
      <c r="F50">
        <v>3042</v>
      </c>
      <c r="G50">
        <v>2697</v>
      </c>
      <c r="H50">
        <v>2264</v>
      </c>
      <c r="I50">
        <v>2556</v>
      </c>
      <c r="J50">
        <v>2272</v>
      </c>
      <c r="K50">
        <v>1732</v>
      </c>
    </row>
    <row r="51" spans="1:12" x14ac:dyDescent="0.25">
      <c r="A51" t="s">
        <v>604</v>
      </c>
      <c r="C51">
        <v>9324</v>
      </c>
      <c r="D51">
        <v>7255</v>
      </c>
      <c r="E51">
        <v>16836</v>
      </c>
      <c r="F51">
        <v>11598</v>
      </c>
      <c r="G51">
        <v>12185</v>
      </c>
      <c r="H51">
        <v>14736</v>
      </c>
      <c r="I51">
        <v>12749</v>
      </c>
      <c r="J51">
        <v>11872</v>
      </c>
      <c r="K51">
        <v>10917</v>
      </c>
    </row>
    <row r="52" spans="1:12" x14ac:dyDescent="0.25">
      <c r="A52" t="s">
        <v>616</v>
      </c>
      <c r="F52">
        <v>2822</v>
      </c>
      <c r="G52">
        <v>4708</v>
      </c>
      <c r="I52">
        <v>6934</v>
      </c>
      <c r="J52">
        <v>6682</v>
      </c>
      <c r="K52">
        <v>5129</v>
      </c>
    </row>
    <row r="53" spans="1:12" x14ac:dyDescent="0.25">
      <c r="A53" t="s">
        <v>617</v>
      </c>
      <c r="F53">
        <v>4380</v>
      </c>
      <c r="G53">
        <v>4068</v>
      </c>
      <c r="I53">
        <v>3100</v>
      </c>
      <c r="J53">
        <v>2795</v>
      </c>
      <c r="K53">
        <v>3336</v>
      </c>
    </row>
    <row r="54" spans="1:12" x14ac:dyDescent="0.25">
      <c r="A54" t="s">
        <v>605</v>
      </c>
      <c r="F54">
        <v>4396</v>
      </c>
      <c r="G54">
        <v>3409</v>
      </c>
      <c r="I54">
        <v>2715</v>
      </c>
      <c r="J54">
        <v>2395</v>
      </c>
      <c r="K54">
        <v>2451</v>
      </c>
    </row>
    <row r="57" spans="1:12" x14ac:dyDescent="0.25">
      <c r="A57" t="s">
        <v>599</v>
      </c>
      <c r="G57">
        <v>26000</v>
      </c>
      <c r="H57">
        <v>26000</v>
      </c>
      <c r="I57">
        <v>24500</v>
      </c>
    </row>
    <row r="59" spans="1:12" x14ac:dyDescent="0.25">
      <c r="A59" t="s">
        <v>45</v>
      </c>
      <c r="F59">
        <v>5.9390000000000001</v>
      </c>
      <c r="G59">
        <v>6.2119999999999997</v>
      </c>
      <c r="I59">
        <v>7.07</v>
      </c>
      <c r="J59">
        <v>5.0999999999999996</v>
      </c>
      <c r="K59">
        <v>3.6</v>
      </c>
      <c r="L59">
        <v>4.8</v>
      </c>
    </row>
    <row r="60" spans="1:12" x14ac:dyDescent="0.25">
      <c r="A60" t="s">
        <v>44</v>
      </c>
      <c r="F60">
        <v>11.36</v>
      </c>
      <c r="G60">
        <v>9.5280000000000005</v>
      </c>
      <c r="I60">
        <v>6.5369999999999999</v>
      </c>
      <c r="J60">
        <v>6.9</v>
      </c>
      <c r="K60">
        <v>7.2</v>
      </c>
      <c r="L60">
        <v>6.9</v>
      </c>
    </row>
    <row r="61" spans="1:12" x14ac:dyDescent="0.25">
      <c r="A61" t="s">
        <v>43</v>
      </c>
      <c r="F61">
        <v>17.751999999999999</v>
      </c>
      <c r="G61">
        <v>16.800999999999998</v>
      </c>
      <c r="I61">
        <v>11.901</v>
      </c>
      <c r="J61">
        <v>10.8</v>
      </c>
      <c r="K61">
        <v>9.9</v>
      </c>
      <c r="L61">
        <v>9.3000000000000007</v>
      </c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FAC5-E606-47BF-9D53-09E392A6A2D3}">
  <dimension ref="A1:X44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S2" sqref="S2:S4"/>
    </sheetView>
  </sheetViews>
  <sheetFormatPr defaultRowHeight="15" x14ac:dyDescent="0.25"/>
  <cols>
    <col min="1" max="1" width="10.7109375" customWidth="1"/>
    <col min="2" max="2" width="10.42578125" bestFit="1" customWidth="1"/>
    <col min="4" max="4" width="10.140625" bestFit="1" customWidth="1"/>
    <col min="8" max="8" width="12.42578125" bestFit="1" customWidth="1"/>
    <col min="9" max="9" width="6.85546875" customWidth="1"/>
    <col min="10" max="11" width="4.85546875" customWidth="1"/>
    <col min="12" max="12" width="10" bestFit="1" customWidth="1"/>
    <col min="13" max="13" width="8.140625" bestFit="1" customWidth="1"/>
    <col min="14" max="14" width="4.85546875" customWidth="1"/>
    <col min="19" max="19" width="37.5703125" customWidth="1"/>
    <col min="21" max="21" width="9.42578125" customWidth="1"/>
  </cols>
  <sheetData>
    <row r="1" spans="2:24" x14ac:dyDescent="0.25">
      <c r="B1" s="23" t="s">
        <v>0</v>
      </c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289</v>
      </c>
      <c r="L1" s="23" t="s">
        <v>290</v>
      </c>
      <c r="M1" s="23" t="s">
        <v>291</v>
      </c>
      <c r="N1" s="23" t="s">
        <v>292</v>
      </c>
      <c r="O1" s="23" t="s">
        <v>9</v>
      </c>
      <c r="P1" s="23" t="s">
        <v>12</v>
      </c>
      <c r="Q1" s="23" t="s">
        <v>63</v>
      </c>
      <c r="R1" s="23" t="s">
        <v>64</v>
      </c>
      <c r="S1" s="23" t="s">
        <v>13</v>
      </c>
      <c r="T1" s="23" t="s">
        <v>24</v>
      </c>
      <c r="U1" s="23" t="s">
        <v>59</v>
      </c>
      <c r="V1" s="1"/>
      <c r="X1" s="1"/>
    </row>
    <row r="2" spans="2:24" x14ac:dyDescent="0.25">
      <c r="B2" s="2">
        <v>46059</v>
      </c>
      <c r="C2" s="35" t="s">
        <v>171</v>
      </c>
      <c r="D2" s="36">
        <v>94.6</v>
      </c>
      <c r="F2" s="38" t="s">
        <v>620</v>
      </c>
      <c r="G2" s="37">
        <v>22</v>
      </c>
      <c r="H2" s="36" t="s">
        <v>618</v>
      </c>
      <c r="P2" s="24"/>
      <c r="S2" s="39" t="s">
        <v>623</v>
      </c>
      <c r="U2" s="6"/>
    </row>
    <row r="3" spans="2:24" x14ac:dyDescent="0.25">
      <c r="B3" s="2">
        <v>46059</v>
      </c>
      <c r="C3" s="35" t="s">
        <v>25</v>
      </c>
      <c r="D3" s="36">
        <v>21</v>
      </c>
      <c r="F3" s="38" t="s">
        <v>621</v>
      </c>
      <c r="G3" s="37">
        <v>3</v>
      </c>
      <c r="H3" s="36" t="s">
        <v>619</v>
      </c>
      <c r="P3" s="24"/>
      <c r="S3" s="39" t="s">
        <v>624</v>
      </c>
    </row>
    <row r="4" spans="2:24" x14ac:dyDescent="0.25">
      <c r="B4" s="2">
        <v>46062</v>
      </c>
      <c r="C4" s="35" t="s">
        <v>25</v>
      </c>
      <c r="D4" s="36">
        <v>42</v>
      </c>
      <c r="F4" s="38" t="s">
        <v>622</v>
      </c>
      <c r="G4" s="37">
        <v>6</v>
      </c>
      <c r="H4" s="36" t="s">
        <v>619</v>
      </c>
      <c r="P4" s="24"/>
      <c r="S4" s="39" t="s">
        <v>625</v>
      </c>
    </row>
    <row r="5" spans="2:24" x14ac:dyDescent="0.25">
      <c r="B5" s="2"/>
      <c r="C5" s="30"/>
      <c r="D5" s="24"/>
      <c r="F5" s="24"/>
      <c r="G5" s="24"/>
      <c r="H5" s="24"/>
      <c r="P5" s="24"/>
      <c r="S5" s="24"/>
      <c r="X5" s="6"/>
    </row>
    <row r="6" spans="2:24" x14ac:dyDescent="0.25">
      <c r="B6" s="2"/>
      <c r="D6" s="5"/>
      <c r="G6" s="3"/>
    </row>
    <row r="7" spans="2:24" x14ac:dyDescent="0.25">
      <c r="B7" s="2"/>
      <c r="G7" s="3"/>
    </row>
    <row r="8" spans="2:24" x14ac:dyDescent="0.25">
      <c r="B8" s="2"/>
      <c r="G8" s="3"/>
    </row>
    <row r="9" spans="2:24" x14ac:dyDescent="0.25">
      <c r="B9" s="2"/>
      <c r="G9" s="3"/>
    </row>
    <row r="10" spans="2:24" x14ac:dyDescent="0.25">
      <c r="B10" s="2"/>
      <c r="D10" s="4"/>
      <c r="G10" s="3"/>
    </row>
    <row r="11" spans="2:24" x14ac:dyDescent="0.25">
      <c r="B11" s="2"/>
      <c r="G11" s="3"/>
    </row>
    <row r="12" spans="2:24" x14ac:dyDescent="0.25">
      <c r="B12" s="2"/>
    </row>
    <row r="13" spans="2:24" x14ac:dyDescent="0.25">
      <c r="B13" s="2"/>
    </row>
    <row r="14" spans="2:24" x14ac:dyDescent="0.25">
      <c r="B14" s="2"/>
      <c r="D14" s="4"/>
      <c r="G14" s="3"/>
    </row>
    <row r="15" spans="2:24" x14ac:dyDescent="0.25">
      <c r="B15" s="2"/>
      <c r="D15" s="4"/>
      <c r="G15" s="3"/>
    </row>
    <row r="16" spans="2:24" x14ac:dyDescent="0.25">
      <c r="B16" s="2"/>
      <c r="D16" s="4"/>
      <c r="G16" s="3"/>
    </row>
    <row r="17" spans="1:24" x14ac:dyDescent="0.25">
      <c r="B17" s="2"/>
      <c r="D17" s="4"/>
      <c r="G17" s="3"/>
    </row>
    <row r="18" spans="1:24" x14ac:dyDescent="0.25">
      <c r="B18" s="2"/>
      <c r="D18" s="5"/>
      <c r="G18" s="3"/>
    </row>
    <row r="19" spans="1:24" x14ac:dyDescent="0.25">
      <c r="B19" s="2"/>
      <c r="D19" s="5"/>
      <c r="G19" s="3"/>
    </row>
    <row r="20" spans="1:24" x14ac:dyDescent="0.25">
      <c r="B20" s="2"/>
      <c r="D20" s="5"/>
      <c r="G20" s="3"/>
    </row>
    <row r="21" spans="1:24" x14ac:dyDescent="0.25">
      <c r="A21" s="24"/>
      <c r="B21" s="25"/>
      <c r="C21" s="24"/>
      <c r="D21" s="26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spans="1:24" x14ac:dyDescent="0.25">
      <c r="A22" s="24"/>
      <c r="B22" s="25"/>
      <c r="C22" s="24"/>
      <c r="D22" s="27"/>
      <c r="E22" s="24"/>
      <c r="F22" s="24"/>
      <c r="G22" s="28"/>
      <c r="H22" s="24"/>
      <c r="I22" s="24"/>
      <c r="J22" s="24"/>
      <c r="K22" s="24"/>
      <c r="L22" s="24"/>
      <c r="M22" s="24"/>
      <c r="N22" s="24"/>
      <c r="O22" s="24"/>
      <c r="X22" s="6"/>
    </row>
    <row r="23" spans="1:24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spans="1:24" s="7" customFormat="1" x14ac:dyDescent="0.25">
      <c r="A24" s="24">
        <f>SUM(D2:D22)</f>
        <v>157.6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</row>
    <row r="25" spans="1:24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24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1:24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 spans="1:24" x14ac:dyDescent="0.25">
      <c r="A28" s="24"/>
      <c r="B28" s="29"/>
      <c r="C28" s="29"/>
      <c r="D28" s="29"/>
      <c r="E28" s="29"/>
      <c r="F28" s="24"/>
      <c r="G28" s="24"/>
      <c r="H28" s="29"/>
      <c r="I28" s="24"/>
      <c r="J28" s="24"/>
      <c r="K28" s="24"/>
      <c r="L28" s="24"/>
      <c r="M28" s="24"/>
      <c r="N28" s="24"/>
      <c r="O28" s="24"/>
    </row>
    <row r="29" spans="1:24" x14ac:dyDescent="0.25">
      <c r="A29" s="24"/>
      <c r="B29" s="34"/>
      <c r="J29" s="24"/>
      <c r="K29" s="24"/>
      <c r="L29" s="31"/>
      <c r="M29" s="31"/>
      <c r="N29" s="24"/>
      <c r="O29" s="24"/>
    </row>
    <row r="30" spans="1:24" x14ac:dyDescent="0.25">
      <c r="A30" s="24"/>
      <c r="B30" s="34"/>
      <c r="J30" s="24"/>
      <c r="K30" s="24"/>
      <c r="L30" s="31"/>
      <c r="M30" s="31"/>
      <c r="N30" s="24"/>
      <c r="O30" s="24"/>
    </row>
    <row r="31" spans="1:24" x14ac:dyDescent="0.25">
      <c r="A31" s="24"/>
      <c r="B31" s="34"/>
      <c r="J31" s="24"/>
      <c r="K31" s="24"/>
      <c r="L31" s="31"/>
      <c r="M31" s="31"/>
      <c r="N31" s="24"/>
      <c r="O31" s="24"/>
    </row>
    <row r="32" spans="1:24" x14ac:dyDescent="0.25">
      <c r="A32" s="24"/>
      <c r="B32" s="34"/>
      <c r="J32" s="24"/>
      <c r="K32" s="24"/>
      <c r="L32" s="31"/>
      <c r="M32" s="31"/>
      <c r="N32" s="24"/>
      <c r="O32" s="24"/>
    </row>
    <row r="33" spans="1:15" x14ac:dyDescent="0.25">
      <c r="A33" s="24"/>
      <c r="B33" s="24"/>
      <c r="C33" s="24"/>
      <c r="D33" s="30"/>
      <c r="E33" s="24"/>
      <c r="F33" s="30"/>
      <c r="G33" s="32"/>
      <c r="H33" s="24"/>
      <c r="I33" s="24"/>
      <c r="J33" s="24"/>
      <c r="K33" s="24"/>
      <c r="L33" s="31"/>
      <c r="M33" s="31"/>
      <c r="N33" s="24"/>
      <c r="O33" s="24"/>
    </row>
    <row r="34" spans="1:15" x14ac:dyDescent="0.25">
      <c r="A34" s="24"/>
      <c r="B34" s="24"/>
      <c r="C34" s="24"/>
      <c r="D34" s="30"/>
      <c r="E34" s="24"/>
      <c r="F34" s="24"/>
      <c r="G34" s="32"/>
      <c r="H34" s="24"/>
      <c r="I34" s="24"/>
      <c r="J34" s="24"/>
      <c r="K34" s="24"/>
      <c r="L34" s="31"/>
      <c r="M34" s="31"/>
      <c r="N34" s="24"/>
      <c r="O34" s="24"/>
    </row>
    <row r="35" spans="1:15" x14ac:dyDescent="0.25">
      <c r="A35" s="24"/>
      <c r="B35" s="24"/>
      <c r="C35" s="24"/>
      <c r="D35" s="30"/>
      <c r="E35" s="24"/>
      <c r="F35" s="24"/>
      <c r="G35" s="32"/>
      <c r="H35" s="24"/>
      <c r="I35" s="24"/>
      <c r="J35" s="24"/>
      <c r="K35" s="24"/>
      <c r="L35" s="31"/>
      <c r="M35" s="31"/>
      <c r="N35" s="24"/>
      <c r="O35" s="24"/>
    </row>
    <row r="36" spans="1:15" x14ac:dyDescent="0.25">
      <c r="A36" s="24"/>
      <c r="B36" s="24"/>
      <c r="C36" s="24"/>
      <c r="D36" s="30"/>
      <c r="E36" s="24"/>
      <c r="F36" s="24"/>
      <c r="G36" s="32"/>
      <c r="H36" s="24"/>
      <c r="I36" s="24"/>
      <c r="J36" s="24"/>
      <c r="K36" s="24"/>
      <c r="L36" s="31"/>
      <c r="M36" s="31"/>
      <c r="N36" s="24"/>
      <c r="O36" s="24"/>
    </row>
    <row r="37" spans="1:15" x14ac:dyDescent="0.25">
      <c r="A37" s="24"/>
      <c r="B37" s="24"/>
      <c r="C37" s="24"/>
      <c r="D37" s="30"/>
      <c r="E37" s="24"/>
      <c r="F37" s="24"/>
      <c r="G37" s="32"/>
      <c r="H37" s="24"/>
      <c r="I37" s="24"/>
      <c r="J37" s="24"/>
      <c r="K37" s="24"/>
      <c r="L37" s="31"/>
      <c r="M37" s="31"/>
      <c r="N37" s="24"/>
      <c r="O37" s="24"/>
    </row>
    <row r="38" spans="1:15" x14ac:dyDescent="0.25">
      <c r="A38" s="24"/>
      <c r="B38" s="24"/>
      <c r="C38" s="24"/>
      <c r="D38" s="30"/>
      <c r="E38" s="24"/>
      <c r="F38" s="24"/>
      <c r="G38" s="32"/>
      <c r="H38" s="24"/>
      <c r="I38" s="24"/>
      <c r="J38" s="24"/>
      <c r="K38" s="24"/>
      <c r="L38" s="24"/>
      <c r="M38" s="24"/>
      <c r="N38" s="24"/>
      <c r="O38" s="24"/>
    </row>
    <row r="39" spans="1:15" x14ac:dyDescent="0.25">
      <c r="A39" s="24"/>
      <c r="B39" s="24"/>
      <c r="C39" s="24"/>
      <c r="D39" s="30"/>
      <c r="E39" s="24"/>
      <c r="F39" s="24"/>
      <c r="G39" s="32"/>
      <c r="H39" s="24"/>
      <c r="I39" s="24"/>
      <c r="J39" s="24"/>
      <c r="K39" s="24"/>
      <c r="L39" s="24"/>
      <c r="M39" s="24"/>
      <c r="N39" s="24"/>
      <c r="O39" s="24"/>
    </row>
    <row r="40" spans="1:15" x14ac:dyDescent="0.25">
      <c r="A40" s="24"/>
      <c r="B40" s="24"/>
      <c r="C40" s="24"/>
      <c r="D40" s="30"/>
      <c r="E40" s="24"/>
      <c r="F40" s="24"/>
      <c r="G40" s="32"/>
      <c r="H40" s="24"/>
      <c r="I40" s="24"/>
      <c r="J40" s="24"/>
      <c r="K40" s="24"/>
      <c r="L40" s="24"/>
      <c r="M40" s="24"/>
      <c r="N40" s="24"/>
      <c r="O40" s="24"/>
    </row>
    <row r="41" spans="1:15" x14ac:dyDescent="0.25">
      <c r="A41" s="24"/>
      <c r="B41" s="24"/>
      <c r="C41" s="24"/>
      <c r="D41" s="30"/>
      <c r="E41" s="24"/>
      <c r="F41" s="30"/>
      <c r="G41" s="32"/>
      <c r="H41" s="24"/>
      <c r="I41" s="24"/>
      <c r="J41" s="24"/>
      <c r="K41" s="24"/>
      <c r="L41" s="24"/>
      <c r="M41" s="24"/>
      <c r="N41" s="24"/>
      <c r="O41" s="24"/>
    </row>
    <row r="42" spans="1:15" x14ac:dyDescent="0.25">
      <c r="A42" s="24"/>
      <c r="B42" s="24"/>
      <c r="C42" s="24"/>
      <c r="D42" s="30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</row>
    <row r="43" spans="1:15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</row>
    <row r="44" spans="1:15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D719-BE2C-415B-9CC9-F97ABA843ABD}">
  <dimension ref="A1:X4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6" sqref="H6"/>
    </sheetView>
  </sheetViews>
  <sheetFormatPr defaultRowHeight="15" x14ac:dyDescent="0.25"/>
  <cols>
    <col min="1" max="1" width="10.7109375" customWidth="1"/>
    <col min="2" max="2" width="10.42578125" bestFit="1" customWidth="1"/>
    <col min="4" max="4" width="10.140625" bestFit="1" customWidth="1"/>
    <col min="8" max="8" width="12.42578125" bestFit="1" customWidth="1"/>
    <col min="9" max="9" width="6.85546875" customWidth="1"/>
    <col min="10" max="11" width="4.85546875" customWidth="1"/>
    <col min="12" max="12" width="10" bestFit="1" customWidth="1"/>
    <col min="13" max="13" width="8.140625" bestFit="1" customWidth="1"/>
    <col min="14" max="14" width="4.85546875" customWidth="1"/>
    <col min="19" max="19" width="37.5703125" customWidth="1"/>
    <col min="21" max="21" width="9.42578125" customWidth="1"/>
  </cols>
  <sheetData>
    <row r="1" spans="2:24" x14ac:dyDescent="0.25">
      <c r="B1" s="23" t="s">
        <v>0</v>
      </c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289</v>
      </c>
      <c r="L1" s="23" t="s">
        <v>290</v>
      </c>
      <c r="M1" s="23" t="s">
        <v>291</v>
      </c>
      <c r="N1" s="23" t="s">
        <v>292</v>
      </c>
      <c r="O1" s="23" t="s">
        <v>9</v>
      </c>
      <c r="P1" s="23" t="s">
        <v>12</v>
      </c>
      <c r="Q1" s="23" t="s">
        <v>63</v>
      </c>
      <c r="R1" s="23" t="s">
        <v>64</v>
      </c>
      <c r="S1" s="23" t="s">
        <v>13</v>
      </c>
      <c r="T1" s="23" t="s">
        <v>24</v>
      </c>
      <c r="U1" s="23" t="s">
        <v>59</v>
      </c>
      <c r="V1" s="1"/>
      <c r="X1" s="1"/>
    </row>
    <row r="2" spans="2:24" x14ac:dyDescent="0.25">
      <c r="B2" s="2">
        <v>45838</v>
      </c>
      <c r="C2" s="30" t="s">
        <v>88</v>
      </c>
      <c r="D2" s="24">
        <v>40</v>
      </c>
      <c r="F2" s="24" t="s">
        <v>507</v>
      </c>
      <c r="G2" s="24">
        <v>8</v>
      </c>
      <c r="H2" s="24" t="s">
        <v>27</v>
      </c>
      <c r="P2" s="24" t="s">
        <v>506</v>
      </c>
      <c r="S2" s="24" t="s">
        <v>508</v>
      </c>
      <c r="U2" s="6"/>
    </row>
    <row r="3" spans="2:24" x14ac:dyDescent="0.25">
      <c r="B3" s="2">
        <v>45856</v>
      </c>
      <c r="C3" s="30" t="s">
        <v>25</v>
      </c>
      <c r="D3" s="24">
        <v>976.5</v>
      </c>
      <c r="F3" s="24" t="s">
        <v>510</v>
      </c>
      <c r="G3" s="24">
        <v>63</v>
      </c>
      <c r="H3" s="24" t="s">
        <v>511</v>
      </c>
      <c r="P3" s="24" t="s">
        <v>509</v>
      </c>
      <c r="S3" s="24" t="s">
        <v>512</v>
      </c>
    </row>
    <row r="4" spans="2:24" x14ac:dyDescent="0.25">
      <c r="B4" s="2">
        <v>45867</v>
      </c>
      <c r="C4" s="30" t="s">
        <v>101</v>
      </c>
      <c r="D4" s="24">
        <v>390</v>
      </c>
      <c r="F4" s="24" t="s">
        <v>514</v>
      </c>
      <c r="G4" s="24">
        <v>26</v>
      </c>
      <c r="H4" s="24" t="s">
        <v>511</v>
      </c>
      <c r="P4" s="24" t="s">
        <v>513</v>
      </c>
      <c r="S4" s="24" t="s">
        <v>515</v>
      </c>
    </row>
    <row r="5" spans="2:24" x14ac:dyDescent="0.25">
      <c r="B5" s="2">
        <v>45916</v>
      </c>
      <c r="C5" s="30" t="s">
        <v>10</v>
      </c>
      <c r="D5" s="24">
        <v>495</v>
      </c>
      <c r="F5" s="24" t="s">
        <v>517</v>
      </c>
      <c r="G5" s="24">
        <v>35</v>
      </c>
      <c r="H5" s="24" t="s">
        <v>511</v>
      </c>
      <c r="P5" s="24" t="s">
        <v>516</v>
      </c>
      <c r="S5" s="24" t="s">
        <v>518</v>
      </c>
      <c r="X5" s="6"/>
    </row>
    <row r="6" spans="2:24" x14ac:dyDescent="0.25">
      <c r="B6" s="2"/>
      <c r="D6" s="5"/>
      <c r="G6" s="3"/>
    </row>
    <row r="7" spans="2:24" x14ac:dyDescent="0.25">
      <c r="B7" s="2"/>
      <c r="G7" s="3"/>
    </row>
    <row r="8" spans="2:24" x14ac:dyDescent="0.25">
      <c r="B8" s="2"/>
      <c r="G8" s="3"/>
    </row>
    <row r="9" spans="2:24" x14ac:dyDescent="0.25">
      <c r="B9" s="2"/>
      <c r="G9" s="3"/>
    </row>
    <row r="10" spans="2:24" x14ac:dyDescent="0.25">
      <c r="B10" s="2"/>
      <c r="D10" s="4"/>
      <c r="G10" s="3"/>
    </row>
    <row r="11" spans="2:24" x14ac:dyDescent="0.25">
      <c r="B11" s="2"/>
      <c r="G11" s="3"/>
    </row>
    <row r="12" spans="2:24" x14ac:dyDescent="0.25">
      <c r="B12" s="2"/>
    </row>
    <row r="13" spans="2:24" x14ac:dyDescent="0.25">
      <c r="B13" s="2"/>
    </row>
    <row r="14" spans="2:24" x14ac:dyDescent="0.25">
      <c r="B14" s="2"/>
      <c r="D14" s="4"/>
      <c r="G14" s="3"/>
    </row>
    <row r="15" spans="2:24" x14ac:dyDescent="0.25">
      <c r="B15" s="2"/>
      <c r="D15" s="4"/>
      <c r="G15" s="3"/>
    </row>
    <row r="16" spans="2:24" x14ac:dyDescent="0.25">
      <c r="B16" s="2"/>
      <c r="D16" s="4"/>
      <c r="G16" s="3"/>
    </row>
    <row r="17" spans="1:24" x14ac:dyDescent="0.25">
      <c r="B17" s="2"/>
      <c r="D17" s="4"/>
      <c r="G17" s="3"/>
    </row>
    <row r="18" spans="1:24" x14ac:dyDescent="0.25">
      <c r="B18" s="2"/>
      <c r="D18" s="5"/>
      <c r="G18" s="3"/>
    </row>
    <row r="19" spans="1:24" x14ac:dyDescent="0.25">
      <c r="B19" s="2"/>
      <c r="D19" s="5"/>
      <c r="G19" s="3"/>
    </row>
    <row r="20" spans="1:24" x14ac:dyDescent="0.25">
      <c r="B20" s="2"/>
      <c r="D20" s="5"/>
      <c r="G20" s="3"/>
    </row>
    <row r="21" spans="1:24" x14ac:dyDescent="0.25">
      <c r="A21" s="24"/>
      <c r="B21" s="25"/>
      <c r="C21" s="24"/>
      <c r="D21" s="26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spans="1:24" x14ac:dyDescent="0.25">
      <c r="A22" s="24"/>
      <c r="B22" s="25"/>
      <c r="C22" s="24"/>
      <c r="D22" s="27"/>
      <c r="E22" s="24"/>
      <c r="F22" s="24"/>
      <c r="G22" s="28"/>
      <c r="H22" s="24"/>
      <c r="I22" s="24"/>
      <c r="J22" s="24"/>
      <c r="K22" s="24"/>
      <c r="L22" s="24"/>
      <c r="M22" s="24"/>
      <c r="N22" s="24"/>
      <c r="O22" s="24"/>
      <c r="X22" s="6"/>
    </row>
    <row r="23" spans="1:24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spans="1:24" s="7" customFormat="1" x14ac:dyDescent="0.25">
      <c r="A24" s="24">
        <f>SUM(D2:D22)</f>
        <v>1901.5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</row>
    <row r="25" spans="1:24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24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1:24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 spans="1:24" x14ac:dyDescent="0.25">
      <c r="A28" s="24"/>
      <c r="B28" s="29"/>
      <c r="C28" s="29"/>
      <c r="D28" s="29"/>
      <c r="E28" s="29"/>
      <c r="F28" s="24"/>
      <c r="G28" s="24"/>
      <c r="H28" s="29"/>
      <c r="I28" s="24"/>
      <c r="J28" s="24"/>
      <c r="K28" s="24"/>
      <c r="L28" s="24"/>
      <c r="M28" s="24"/>
      <c r="N28" s="24"/>
      <c r="O28" s="24"/>
    </row>
    <row r="29" spans="1:24" x14ac:dyDescent="0.25">
      <c r="A29" s="24"/>
      <c r="B29" s="34"/>
      <c r="J29" s="24"/>
      <c r="K29" s="24"/>
      <c r="L29" s="31"/>
      <c r="M29" s="31"/>
      <c r="N29" s="24"/>
      <c r="O29" s="24"/>
    </row>
    <row r="30" spans="1:24" x14ac:dyDescent="0.25">
      <c r="A30" s="24"/>
      <c r="B30" s="34"/>
      <c r="J30" s="24"/>
      <c r="K30" s="24"/>
      <c r="L30" s="31"/>
      <c r="M30" s="31"/>
      <c r="N30" s="24"/>
      <c r="O30" s="24"/>
    </row>
    <row r="31" spans="1:24" x14ac:dyDescent="0.25">
      <c r="A31" s="24"/>
      <c r="B31" s="34"/>
      <c r="J31" s="24"/>
      <c r="K31" s="24"/>
      <c r="L31" s="31"/>
      <c r="M31" s="31"/>
      <c r="N31" s="24"/>
      <c r="O31" s="24"/>
    </row>
    <row r="32" spans="1:24" x14ac:dyDescent="0.25">
      <c r="A32" s="24"/>
      <c r="B32" s="34"/>
      <c r="J32" s="24"/>
      <c r="K32" s="24"/>
      <c r="L32" s="31"/>
      <c r="M32" s="31"/>
      <c r="N32" s="24"/>
      <c r="O32" s="24"/>
    </row>
    <row r="33" spans="1:15" x14ac:dyDescent="0.25">
      <c r="A33" s="24"/>
      <c r="B33" s="24"/>
      <c r="C33" s="24"/>
      <c r="D33" s="30"/>
      <c r="E33" s="24"/>
      <c r="F33" s="30"/>
      <c r="G33" s="32"/>
      <c r="H33" s="24"/>
      <c r="I33" s="24"/>
      <c r="J33" s="24"/>
      <c r="K33" s="24"/>
      <c r="L33" s="31"/>
      <c r="M33" s="31"/>
      <c r="N33" s="24"/>
      <c r="O33" s="24"/>
    </row>
    <row r="34" spans="1:15" x14ac:dyDescent="0.25">
      <c r="A34" s="24"/>
      <c r="B34" s="24"/>
      <c r="C34" s="24"/>
      <c r="D34" s="30"/>
      <c r="E34" s="24"/>
      <c r="F34" s="24"/>
      <c r="G34" s="32"/>
      <c r="H34" s="24"/>
      <c r="I34" s="24"/>
      <c r="J34" s="24"/>
      <c r="K34" s="24"/>
      <c r="L34" s="31"/>
      <c r="M34" s="31"/>
      <c r="N34" s="24"/>
      <c r="O34" s="24"/>
    </row>
    <row r="35" spans="1:15" x14ac:dyDescent="0.25">
      <c r="A35" s="24"/>
      <c r="B35" s="24"/>
      <c r="C35" s="24"/>
      <c r="D35" s="30"/>
      <c r="E35" s="24"/>
      <c r="F35" s="24"/>
      <c r="G35" s="32"/>
      <c r="H35" s="24"/>
      <c r="I35" s="24"/>
      <c r="J35" s="24"/>
      <c r="K35" s="24"/>
      <c r="L35" s="31"/>
      <c r="M35" s="31"/>
      <c r="N35" s="24"/>
      <c r="O35" s="24"/>
    </row>
    <row r="36" spans="1:15" x14ac:dyDescent="0.25">
      <c r="A36" s="24"/>
      <c r="B36" s="24"/>
      <c r="C36" s="24"/>
      <c r="D36" s="30"/>
      <c r="E36" s="24"/>
      <c r="F36" s="24"/>
      <c r="G36" s="32"/>
      <c r="H36" s="24"/>
      <c r="I36" s="24"/>
      <c r="J36" s="24"/>
      <c r="K36" s="24"/>
      <c r="L36" s="31"/>
      <c r="M36" s="31"/>
      <c r="N36" s="24"/>
      <c r="O36" s="24"/>
    </row>
    <row r="37" spans="1:15" x14ac:dyDescent="0.25">
      <c r="A37" s="24"/>
      <c r="B37" s="24"/>
      <c r="C37" s="24"/>
      <c r="D37" s="30"/>
      <c r="E37" s="24"/>
      <c r="F37" s="24"/>
      <c r="G37" s="32"/>
      <c r="H37" s="24"/>
      <c r="I37" s="24"/>
      <c r="J37" s="24"/>
      <c r="K37" s="24"/>
      <c r="L37" s="31"/>
      <c r="M37" s="31"/>
      <c r="N37" s="24"/>
      <c r="O37" s="24"/>
    </row>
    <row r="38" spans="1:15" x14ac:dyDescent="0.25">
      <c r="A38" s="24"/>
      <c r="B38" s="24"/>
      <c r="C38" s="24"/>
      <c r="D38" s="30"/>
      <c r="E38" s="24"/>
      <c r="F38" s="24"/>
      <c r="G38" s="32"/>
      <c r="H38" s="24"/>
      <c r="I38" s="24"/>
      <c r="J38" s="24"/>
      <c r="K38" s="24"/>
      <c r="L38" s="24"/>
      <c r="M38" s="24"/>
      <c r="N38" s="24"/>
      <c r="O38" s="24"/>
    </row>
    <row r="39" spans="1:15" x14ac:dyDescent="0.25">
      <c r="A39" s="24"/>
      <c r="B39" s="24"/>
      <c r="C39" s="24"/>
      <c r="D39" s="30"/>
      <c r="E39" s="24"/>
      <c r="F39" s="24"/>
      <c r="G39" s="32"/>
      <c r="H39" s="24"/>
      <c r="I39" s="24"/>
      <c r="J39" s="24"/>
      <c r="K39" s="24"/>
      <c r="L39" s="24"/>
      <c r="M39" s="24"/>
      <c r="N39" s="24"/>
      <c r="O39" s="24"/>
    </row>
    <row r="40" spans="1:15" x14ac:dyDescent="0.25">
      <c r="A40" s="24"/>
      <c r="B40" s="24"/>
      <c r="C40" s="24"/>
      <c r="D40" s="30"/>
      <c r="E40" s="24"/>
      <c r="F40" s="24"/>
      <c r="G40" s="32"/>
      <c r="H40" s="24"/>
      <c r="I40" s="24"/>
      <c r="J40" s="24"/>
      <c r="K40" s="24"/>
      <c r="L40" s="24"/>
      <c r="M40" s="24"/>
      <c r="N40" s="24"/>
      <c r="O40" s="24"/>
    </row>
    <row r="41" spans="1:15" x14ac:dyDescent="0.25">
      <c r="A41" s="24"/>
      <c r="B41" s="24"/>
      <c r="C41" s="24"/>
      <c r="D41" s="30"/>
      <c r="E41" s="24"/>
      <c r="F41" s="30"/>
      <c r="G41" s="32"/>
      <c r="H41" s="24"/>
      <c r="I41" s="24"/>
      <c r="J41" s="24"/>
      <c r="K41" s="24"/>
      <c r="L41" s="24"/>
      <c r="M41" s="24"/>
      <c r="N41" s="24"/>
      <c r="O41" s="24"/>
    </row>
    <row r="42" spans="1:15" x14ac:dyDescent="0.25">
      <c r="A42" s="24"/>
      <c r="B42" s="24"/>
      <c r="C42" s="24"/>
      <c r="D42" s="30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</row>
    <row r="43" spans="1:15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</row>
    <row r="44" spans="1:15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</row>
  </sheetData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0F23-F4EB-4E80-824F-FA2B0C619DCA}">
  <dimension ref="A1:X4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L5" sqref="L5"/>
    </sheetView>
  </sheetViews>
  <sheetFormatPr defaultRowHeight="15" x14ac:dyDescent="0.25"/>
  <cols>
    <col min="1" max="1" width="10.7109375" customWidth="1"/>
    <col min="2" max="2" width="10.42578125" bestFit="1" customWidth="1"/>
    <col min="3" max="3" width="13.42578125" bestFit="1" customWidth="1"/>
    <col min="4" max="4" width="10.140625" bestFit="1" customWidth="1"/>
    <col min="8" max="8" width="12.42578125" bestFit="1" customWidth="1"/>
    <col min="9" max="9" width="6.85546875" customWidth="1"/>
    <col min="10" max="11" width="4.85546875" customWidth="1"/>
    <col min="12" max="12" width="10" bestFit="1" customWidth="1"/>
    <col min="13" max="13" width="8.140625" bestFit="1" customWidth="1"/>
    <col min="14" max="14" width="4.85546875" customWidth="1"/>
    <col min="19" max="19" width="37.5703125" customWidth="1"/>
    <col min="21" max="21" width="9.42578125" customWidth="1"/>
  </cols>
  <sheetData>
    <row r="1" spans="2:24" x14ac:dyDescent="0.25">
      <c r="B1" s="23" t="s">
        <v>0</v>
      </c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289</v>
      </c>
      <c r="L1" s="23" t="s">
        <v>290</v>
      </c>
      <c r="M1" s="23" t="s">
        <v>291</v>
      </c>
      <c r="N1" s="23" t="s">
        <v>292</v>
      </c>
      <c r="O1" s="23" t="s">
        <v>9</v>
      </c>
      <c r="P1" s="23" t="s">
        <v>12</v>
      </c>
      <c r="Q1" s="23" t="s">
        <v>63</v>
      </c>
      <c r="R1" s="23" t="s">
        <v>64</v>
      </c>
      <c r="S1" s="23" t="s">
        <v>13</v>
      </c>
      <c r="T1" s="23" t="s">
        <v>24</v>
      </c>
      <c r="U1" s="23" t="s">
        <v>59</v>
      </c>
      <c r="V1" s="1"/>
      <c r="X1" s="1"/>
    </row>
    <row r="2" spans="2:24" x14ac:dyDescent="0.25">
      <c r="B2" s="25">
        <v>45338</v>
      </c>
      <c r="C2" s="24" t="s">
        <v>101</v>
      </c>
      <c r="D2" s="24">
        <v>1440</v>
      </c>
      <c r="F2" s="24" t="s">
        <v>585</v>
      </c>
      <c r="G2" s="24">
        <v>100</v>
      </c>
      <c r="H2" s="24" t="s">
        <v>102</v>
      </c>
      <c r="I2">
        <v>236</v>
      </c>
      <c r="J2">
        <v>14.4</v>
      </c>
      <c r="P2" s="30" t="s">
        <v>584</v>
      </c>
      <c r="S2" s="24" t="s">
        <v>586</v>
      </c>
      <c r="U2" s="24" t="s">
        <v>587</v>
      </c>
    </row>
    <row r="3" spans="2:24" x14ac:dyDescent="0.25">
      <c r="B3" s="25">
        <v>45433</v>
      </c>
      <c r="C3" s="24" t="s">
        <v>25</v>
      </c>
      <c r="D3" s="24">
        <v>315</v>
      </c>
      <c r="F3" s="24" t="s">
        <v>32</v>
      </c>
      <c r="G3" s="24">
        <v>21</v>
      </c>
      <c r="H3" s="24" t="s">
        <v>102</v>
      </c>
      <c r="I3">
        <v>236</v>
      </c>
      <c r="J3">
        <v>15</v>
      </c>
      <c r="P3" s="30" t="s">
        <v>588</v>
      </c>
      <c r="S3" s="24" t="s">
        <v>589</v>
      </c>
      <c r="U3" s="24" t="s">
        <v>590</v>
      </c>
      <c r="X3" s="6"/>
    </row>
    <row r="4" spans="2:24" x14ac:dyDescent="0.25">
      <c r="B4" s="2">
        <v>45462</v>
      </c>
      <c r="C4" s="24" t="s">
        <v>25</v>
      </c>
      <c r="D4" s="24">
        <v>945</v>
      </c>
      <c r="F4" s="24" t="s">
        <v>510</v>
      </c>
      <c r="G4" s="24">
        <v>63</v>
      </c>
      <c r="H4" s="24" t="s">
        <v>102</v>
      </c>
      <c r="I4">
        <v>236</v>
      </c>
      <c r="J4">
        <v>15</v>
      </c>
      <c r="P4" s="30" t="s">
        <v>591</v>
      </c>
      <c r="S4" s="24" t="s">
        <v>592</v>
      </c>
      <c r="U4" s="24" t="s">
        <v>593</v>
      </c>
    </row>
    <row r="5" spans="2:24" x14ac:dyDescent="0.25">
      <c r="B5" s="25">
        <v>45607</v>
      </c>
      <c r="C5" s="24" t="s">
        <v>595</v>
      </c>
      <c r="D5" s="24">
        <v>960</v>
      </c>
      <c r="F5" s="24" t="s">
        <v>596</v>
      </c>
      <c r="G5" s="24">
        <v>64</v>
      </c>
      <c r="H5" s="24" t="s">
        <v>102</v>
      </c>
      <c r="I5">
        <v>236</v>
      </c>
      <c r="J5">
        <v>14</v>
      </c>
      <c r="P5" s="30" t="s">
        <v>594</v>
      </c>
      <c r="S5" s="24" t="s">
        <v>597</v>
      </c>
      <c r="U5" s="24" t="s">
        <v>598</v>
      </c>
    </row>
    <row r="8" spans="2:24" x14ac:dyDescent="0.25">
      <c r="B8" s="2"/>
      <c r="G8" s="3"/>
    </row>
    <row r="9" spans="2:24" x14ac:dyDescent="0.25">
      <c r="B9" s="2"/>
      <c r="G9" s="3"/>
    </row>
    <row r="10" spans="2:24" x14ac:dyDescent="0.25">
      <c r="B10" s="2"/>
      <c r="D10" s="4"/>
      <c r="G10" s="3"/>
    </row>
    <row r="11" spans="2:24" x14ac:dyDescent="0.25">
      <c r="B11" s="2"/>
      <c r="G11" s="3"/>
    </row>
    <row r="12" spans="2:24" x14ac:dyDescent="0.25">
      <c r="B12" s="2"/>
    </row>
    <row r="13" spans="2:24" x14ac:dyDescent="0.25">
      <c r="B13" s="2"/>
    </row>
    <row r="14" spans="2:24" x14ac:dyDescent="0.25">
      <c r="B14" s="2"/>
      <c r="D14" s="4"/>
      <c r="G14" s="3"/>
    </row>
    <row r="15" spans="2:24" x14ac:dyDescent="0.25">
      <c r="B15" s="2"/>
      <c r="D15" s="4"/>
      <c r="G15" s="3"/>
    </row>
    <row r="16" spans="2:24" x14ac:dyDescent="0.25">
      <c r="B16" s="2"/>
      <c r="D16" s="4"/>
      <c r="G16" s="3"/>
    </row>
    <row r="17" spans="1:24" x14ac:dyDescent="0.25">
      <c r="B17" s="2"/>
      <c r="D17" s="4"/>
      <c r="G17" s="3"/>
    </row>
    <row r="18" spans="1:24" x14ac:dyDescent="0.25">
      <c r="B18" s="2"/>
      <c r="D18" s="5"/>
      <c r="G18" s="3"/>
    </row>
    <row r="19" spans="1:24" x14ac:dyDescent="0.25">
      <c r="B19" s="2"/>
      <c r="D19" s="5"/>
      <c r="G19" s="3"/>
    </row>
    <row r="20" spans="1:24" x14ac:dyDescent="0.25">
      <c r="B20" s="2"/>
      <c r="D20" s="5"/>
      <c r="G20" s="3"/>
    </row>
    <row r="21" spans="1:24" x14ac:dyDescent="0.25">
      <c r="B21" s="2"/>
      <c r="D21" s="4"/>
    </row>
    <row r="22" spans="1:24" x14ac:dyDescent="0.25">
      <c r="B22" s="2"/>
      <c r="D22" s="5"/>
      <c r="G22" s="3"/>
      <c r="X22" s="6"/>
    </row>
    <row r="24" spans="1:24" s="7" customFormat="1" x14ac:dyDescent="0.25">
      <c r="A24" s="7">
        <f>SUM(D2:D22)</f>
        <v>3660</v>
      </c>
    </row>
    <row r="26" spans="1:24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24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24" x14ac:dyDescent="0.25">
      <c r="A28" s="24"/>
      <c r="B28" s="29"/>
      <c r="C28" s="29"/>
      <c r="D28" s="29"/>
      <c r="E28" s="29"/>
      <c r="F28" s="24"/>
      <c r="G28" s="24"/>
      <c r="H28" s="29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1:24" x14ac:dyDescent="0.25">
      <c r="A29" s="24"/>
      <c r="B29" s="24"/>
      <c r="L29" s="31"/>
      <c r="M29" s="31"/>
      <c r="N29" s="24"/>
      <c r="O29" s="24"/>
      <c r="P29" s="24"/>
      <c r="Q29" s="24"/>
      <c r="R29" s="24"/>
    </row>
    <row r="30" spans="1:24" x14ac:dyDescent="0.25">
      <c r="A30" s="24"/>
      <c r="B30" s="24"/>
      <c r="L30" s="31"/>
      <c r="M30" s="31"/>
      <c r="N30" s="24"/>
      <c r="O30" s="24"/>
      <c r="P30" s="24"/>
      <c r="Q30" s="24"/>
      <c r="R30" s="24"/>
    </row>
    <row r="31" spans="1:24" x14ac:dyDescent="0.25">
      <c r="A31" s="24"/>
      <c r="B31" s="24"/>
      <c r="C31" s="24"/>
      <c r="L31" s="31"/>
      <c r="M31" s="31"/>
      <c r="N31" s="24"/>
      <c r="O31" s="24"/>
      <c r="P31" s="24"/>
      <c r="Q31" s="24"/>
      <c r="R31" s="24"/>
    </row>
    <row r="32" spans="1:24" x14ac:dyDescent="0.25">
      <c r="A32" s="24"/>
      <c r="B32" s="24"/>
      <c r="L32" s="31"/>
      <c r="M32" s="31"/>
      <c r="N32" s="24"/>
      <c r="O32" s="24"/>
      <c r="P32" s="24"/>
      <c r="Q32" s="24"/>
      <c r="R32" s="24"/>
    </row>
    <row r="33" spans="1:18" x14ac:dyDescent="0.25">
      <c r="A33" s="24"/>
      <c r="B33" s="24"/>
      <c r="C33" s="24"/>
      <c r="D33" s="30"/>
      <c r="E33" s="24"/>
      <c r="F33" s="30"/>
      <c r="G33" s="32"/>
      <c r="H33" s="24"/>
      <c r="I33" s="24"/>
      <c r="J33" s="24"/>
      <c r="K33" s="24"/>
      <c r="L33" s="31"/>
      <c r="M33" s="31"/>
      <c r="N33" s="24"/>
      <c r="O33" s="24"/>
      <c r="P33" s="24"/>
      <c r="Q33" s="24"/>
      <c r="R33" s="24"/>
    </row>
    <row r="34" spans="1:18" x14ac:dyDescent="0.25">
      <c r="A34" s="24"/>
      <c r="B34" s="24"/>
      <c r="C34" s="24"/>
      <c r="D34" s="30"/>
      <c r="E34" s="24"/>
      <c r="F34" s="24"/>
      <c r="G34" s="32"/>
      <c r="H34" s="24"/>
      <c r="I34" s="24"/>
      <c r="J34" s="24"/>
      <c r="K34" s="24"/>
      <c r="L34" s="31"/>
      <c r="M34" s="31"/>
      <c r="N34" s="24"/>
      <c r="O34" s="24"/>
      <c r="P34" s="24"/>
      <c r="Q34" s="24"/>
      <c r="R34" s="24"/>
    </row>
    <row r="35" spans="1:18" x14ac:dyDescent="0.25">
      <c r="A35" s="24"/>
      <c r="B35" s="24"/>
      <c r="C35" s="24"/>
      <c r="D35" s="30"/>
      <c r="E35" s="24"/>
      <c r="F35" s="24"/>
      <c r="G35" s="32"/>
      <c r="H35" s="24"/>
      <c r="I35" s="24"/>
      <c r="J35" s="24"/>
      <c r="K35" s="24"/>
      <c r="L35" s="31"/>
      <c r="M35" s="31"/>
      <c r="N35" s="24"/>
      <c r="O35" s="24"/>
      <c r="P35" s="24"/>
      <c r="Q35" s="24"/>
      <c r="R35" s="24"/>
    </row>
    <row r="36" spans="1:18" x14ac:dyDescent="0.25">
      <c r="A36" s="24"/>
      <c r="B36" s="24"/>
      <c r="C36" s="24"/>
      <c r="D36" s="30"/>
      <c r="E36" s="24"/>
      <c r="F36" s="24"/>
      <c r="G36" s="32"/>
      <c r="H36" s="24"/>
      <c r="I36" s="24"/>
      <c r="J36" s="24"/>
      <c r="K36" s="24"/>
      <c r="L36" s="31"/>
      <c r="M36" s="31"/>
      <c r="N36" s="24"/>
      <c r="O36" s="24"/>
      <c r="P36" s="24"/>
      <c r="Q36" s="24"/>
      <c r="R36" s="24"/>
    </row>
    <row r="37" spans="1:18" x14ac:dyDescent="0.25">
      <c r="A37" s="24"/>
      <c r="B37" s="24"/>
      <c r="C37" s="24"/>
      <c r="D37" s="30"/>
      <c r="E37" s="24"/>
      <c r="F37" s="24"/>
      <c r="G37" s="32"/>
      <c r="H37" s="24"/>
      <c r="I37" s="24"/>
      <c r="J37" s="24"/>
      <c r="K37" s="24"/>
      <c r="L37" s="31"/>
      <c r="M37" s="31"/>
      <c r="N37" s="24"/>
      <c r="O37" s="24"/>
      <c r="P37" s="24"/>
      <c r="Q37" s="24"/>
      <c r="R37" s="24"/>
    </row>
    <row r="38" spans="1:18" x14ac:dyDescent="0.25">
      <c r="A38" s="24"/>
      <c r="B38" s="24"/>
      <c r="C38" s="24"/>
      <c r="D38" s="30"/>
      <c r="E38" s="24"/>
      <c r="F38" s="24"/>
      <c r="G38" s="32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1:18" x14ac:dyDescent="0.25">
      <c r="A39" s="24"/>
      <c r="B39" s="24"/>
      <c r="C39" s="24"/>
      <c r="D39" s="30"/>
      <c r="E39" s="24"/>
      <c r="F39" s="24"/>
      <c r="G39" s="32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1:18" x14ac:dyDescent="0.25">
      <c r="A40" s="24"/>
      <c r="B40" s="24"/>
      <c r="C40" s="24"/>
      <c r="D40" s="30"/>
      <c r="E40" s="24"/>
      <c r="F40" s="24"/>
      <c r="G40" s="32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8" x14ac:dyDescent="0.25">
      <c r="A41" s="24"/>
      <c r="B41" s="24"/>
      <c r="C41" s="24"/>
      <c r="D41" s="30"/>
      <c r="E41" s="24"/>
      <c r="F41" s="30"/>
      <c r="G41" s="32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1:18" x14ac:dyDescent="0.25">
      <c r="A42" s="24"/>
      <c r="B42" s="24"/>
      <c r="C42" s="24"/>
      <c r="D42" s="30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spans="1:18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</row>
    <row r="44" spans="1:18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59D9-F4B2-4E58-83CB-17F61BB4E768}">
  <dimension ref="A1:X4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7" sqref="A27:Q46"/>
    </sheetView>
  </sheetViews>
  <sheetFormatPr defaultRowHeight="15" x14ac:dyDescent="0.25"/>
  <cols>
    <col min="1" max="1" width="10.7109375" customWidth="1"/>
    <col min="2" max="2" width="10.42578125" bestFit="1" customWidth="1"/>
    <col min="4" max="4" width="10.140625" bestFit="1" customWidth="1"/>
    <col min="8" max="8" width="12.42578125" bestFit="1" customWidth="1"/>
    <col min="9" max="9" width="6.85546875" customWidth="1"/>
    <col min="10" max="11" width="4.85546875" customWidth="1"/>
    <col min="12" max="12" width="10" bestFit="1" customWidth="1"/>
    <col min="13" max="13" width="8.140625" bestFit="1" customWidth="1"/>
    <col min="14" max="14" width="4.85546875" customWidth="1"/>
    <col min="19" max="19" width="2.5703125" customWidth="1"/>
    <col min="21" max="21" width="2.28515625" customWidth="1"/>
  </cols>
  <sheetData>
    <row r="1" spans="2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12</v>
      </c>
      <c r="Q1" s="1" t="s">
        <v>63</v>
      </c>
      <c r="R1" s="1" t="s">
        <v>64</v>
      </c>
      <c r="T1" s="1" t="s">
        <v>13</v>
      </c>
      <c r="V1" s="1" t="s">
        <v>24</v>
      </c>
      <c r="X1" s="1" t="s">
        <v>59</v>
      </c>
    </row>
    <row r="2" spans="2:24" x14ac:dyDescent="0.25">
      <c r="B2" s="2">
        <v>44938</v>
      </c>
      <c r="C2" t="s">
        <v>133</v>
      </c>
      <c r="D2">
        <v>1000</v>
      </c>
      <c r="F2" t="s">
        <v>14</v>
      </c>
      <c r="G2">
        <v>72</v>
      </c>
      <c r="H2" t="s">
        <v>102</v>
      </c>
      <c r="I2">
        <v>236</v>
      </c>
      <c r="J2">
        <v>14</v>
      </c>
      <c r="P2" t="s">
        <v>279</v>
      </c>
      <c r="Q2">
        <v>1</v>
      </c>
      <c r="R2">
        <v>2026</v>
      </c>
      <c r="T2" s="1"/>
      <c r="V2" s="1"/>
      <c r="X2" s="6" t="s">
        <v>278</v>
      </c>
    </row>
    <row r="3" spans="2:24" x14ac:dyDescent="0.25">
      <c r="B3" s="2">
        <v>45014</v>
      </c>
      <c r="C3" t="s">
        <v>104</v>
      </c>
      <c r="D3" s="5">
        <v>1400</v>
      </c>
      <c r="E3">
        <v>8</v>
      </c>
      <c r="F3" t="s">
        <v>282</v>
      </c>
      <c r="G3" s="3">
        <v>95</v>
      </c>
      <c r="H3" t="s">
        <v>102</v>
      </c>
      <c r="I3">
        <v>236</v>
      </c>
      <c r="J3">
        <v>14</v>
      </c>
      <c r="P3" t="s">
        <v>283</v>
      </c>
      <c r="R3">
        <v>2026</v>
      </c>
      <c r="T3" t="s">
        <v>284</v>
      </c>
    </row>
    <row r="4" spans="2:24" x14ac:dyDescent="0.25">
      <c r="B4" s="2">
        <v>45028</v>
      </c>
      <c r="C4" t="s">
        <v>75</v>
      </c>
      <c r="D4" s="5">
        <v>166</v>
      </c>
      <c r="F4" t="s">
        <v>285</v>
      </c>
      <c r="G4" s="3">
        <v>46</v>
      </c>
      <c r="H4" t="s">
        <v>73</v>
      </c>
      <c r="I4">
        <v>145</v>
      </c>
      <c r="J4">
        <v>3.6</v>
      </c>
      <c r="T4" t="s">
        <v>286</v>
      </c>
    </row>
    <row r="5" spans="2:24" x14ac:dyDescent="0.25">
      <c r="B5" s="2">
        <v>45036</v>
      </c>
      <c r="C5" t="s">
        <v>101</v>
      </c>
      <c r="D5" s="5">
        <v>1500</v>
      </c>
      <c r="E5">
        <v>5</v>
      </c>
      <c r="F5" t="s">
        <v>287</v>
      </c>
      <c r="G5" s="3">
        <v>107</v>
      </c>
      <c r="H5" t="s">
        <v>102</v>
      </c>
      <c r="I5">
        <v>236</v>
      </c>
      <c r="J5">
        <v>14</v>
      </c>
      <c r="R5">
        <v>2027</v>
      </c>
      <c r="T5" t="s">
        <v>288</v>
      </c>
      <c r="X5" s="6"/>
    </row>
    <row r="6" spans="2:24" x14ac:dyDescent="0.25">
      <c r="B6" s="2">
        <v>45054</v>
      </c>
      <c r="C6" t="s">
        <v>88</v>
      </c>
      <c r="D6" s="5">
        <v>324</v>
      </c>
      <c r="E6">
        <v>5</v>
      </c>
      <c r="F6" t="s">
        <v>163</v>
      </c>
      <c r="G6" s="3">
        <v>40</v>
      </c>
      <c r="H6" t="s">
        <v>27</v>
      </c>
      <c r="I6">
        <v>145</v>
      </c>
      <c r="J6">
        <v>5</v>
      </c>
    </row>
    <row r="7" spans="2:24" x14ac:dyDescent="0.25">
      <c r="B7" s="2"/>
      <c r="G7" s="3"/>
    </row>
    <row r="8" spans="2:24" x14ac:dyDescent="0.25">
      <c r="B8" s="2"/>
      <c r="G8" s="3"/>
    </row>
    <row r="9" spans="2:24" x14ac:dyDescent="0.25">
      <c r="B9" s="2"/>
      <c r="G9" s="3"/>
    </row>
    <row r="10" spans="2:24" x14ac:dyDescent="0.25">
      <c r="B10" s="2"/>
      <c r="D10" s="4"/>
      <c r="G10" s="3"/>
    </row>
    <row r="11" spans="2:24" x14ac:dyDescent="0.25">
      <c r="B11" s="2"/>
      <c r="G11" s="3"/>
    </row>
    <row r="12" spans="2:24" x14ac:dyDescent="0.25">
      <c r="B12" s="2"/>
    </row>
    <row r="13" spans="2:24" x14ac:dyDescent="0.25">
      <c r="B13" s="2"/>
    </row>
    <row r="14" spans="2:24" x14ac:dyDescent="0.25">
      <c r="B14" s="2"/>
      <c r="D14" s="4"/>
      <c r="G14" s="3"/>
    </row>
    <row r="15" spans="2:24" x14ac:dyDescent="0.25">
      <c r="B15" s="2"/>
      <c r="D15" s="4"/>
      <c r="G15" s="3"/>
    </row>
    <row r="16" spans="2:24" x14ac:dyDescent="0.25">
      <c r="B16" s="2"/>
      <c r="D16" s="4"/>
      <c r="G16" s="3"/>
    </row>
    <row r="17" spans="1:24" x14ac:dyDescent="0.25">
      <c r="B17" s="2"/>
      <c r="D17" s="4"/>
      <c r="G17" s="3"/>
    </row>
    <row r="18" spans="1:24" x14ac:dyDescent="0.25">
      <c r="B18" s="2"/>
      <c r="D18" s="5"/>
      <c r="G18" s="3"/>
    </row>
    <row r="19" spans="1:24" x14ac:dyDescent="0.25">
      <c r="B19" s="2"/>
      <c r="D19" s="5"/>
      <c r="G19" s="3"/>
    </row>
    <row r="20" spans="1:24" x14ac:dyDescent="0.25">
      <c r="B20" s="2"/>
      <c r="D20" s="5"/>
      <c r="G20" s="3"/>
    </row>
    <row r="21" spans="1:24" x14ac:dyDescent="0.25">
      <c r="B21" s="2"/>
      <c r="D21" s="4"/>
    </row>
    <row r="22" spans="1:24" x14ac:dyDescent="0.25">
      <c r="B22" s="2"/>
      <c r="D22" s="5"/>
      <c r="G22" s="3"/>
      <c r="X22" s="6"/>
    </row>
    <row r="24" spans="1:24" s="7" customFormat="1" x14ac:dyDescent="0.25">
      <c r="A24" s="7">
        <f>SUM(D2:D22)</f>
        <v>4390</v>
      </c>
    </row>
    <row r="27" spans="1:24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8" spans="1:24" x14ac:dyDescent="0.25">
      <c r="A28" s="24"/>
      <c r="B28" s="29"/>
      <c r="C28" s="29"/>
      <c r="D28" s="29"/>
      <c r="E28" s="29"/>
      <c r="F28" s="24"/>
      <c r="G28" s="24"/>
      <c r="H28" s="29"/>
      <c r="I28" s="24"/>
      <c r="J28" s="24"/>
      <c r="K28" s="24"/>
      <c r="L28" s="24"/>
      <c r="M28" s="24"/>
      <c r="N28" s="24"/>
      <c r="O28" s="24"/>
      <c r="P28" s="24"/>
      <c r="Q28" s="24"/>
    </row>
    <row r="29" spans="1:24" x14ac:dyDescent="0.25">
      <c r="A29" s="24"/>
      <c r="B29" s="24"/>
      <c r="C29" s="24"/>
      <c r="D29" s="30"/>
      <c r="E29" s="24"/>
      <c r="F29" s="24"/>
      <c r="G29" s="24"/>
      <c r="H29" s="24"/>
      <c r="I29" s="24"/>
      <c r="J29" s="24"/>
      <c r="K29" s="24"/>
      <c r="L29" s="31"/>
      <c r="M29" s="31"/>
      <c r="N29" s="24"/>
      <c r="O29" s="24"/>
      <c r="P29" s="24"/>
      <c r="Q29" s="24"/>
    </row>
    <row r="30" spans="1:24" x14ac:dyDescent="0.25">
      <c r="A30" s="24"/>
      <c r="B30" s="24"/>
      <c r="C30" s="24"/>
      <c r="D30" s="30"/>
      <c r="E30" s="24"/>
      <c r="F30" s="24"/>
      <c r="G30" s="24"/>
      <c r="H30" s="24"/>
      <c r="I30" s="24"/>
      <c r="J30" s="24"/>
      <c r="K30" s="24"/>
      <c r="L30" s="31"/>
      <c r="M30" s="31"/>
      <c r="N30" s="24"/>
      <c r="O30" s="24"/>
      <c r="P30" s="24"/>
      <c r="Q30" s="24"/>
    </row>
    <row r="31" spans="1:24" x14ac:dyDescent="0.25">
      <c r="A31" s="24"/>
      <c r="B31" s="24"/>
      <c r="C31" s="24"/>
      <c r="D31" s="30"/>
      <c r="E31" s="24"/>
      <c r="F31" s="24"/>
      <c r="G31" s="24"/>
      <c r="H31" s="24"/>
      <c r="I31" s="24"/>
      <c r="J31" s="24"/>
      <c r="K31" s="24"/>
      <c r="L31" s="31"/>
      <c r="M31" s="31"/>
      <c r="N31" s="24"/>
      <c r="O31" s="24"/>
      <c r="P31" s="24"/>
      <c r="Q31" s="24"/>
    </row>
    <row r="32" spans="1:24" x14ac:dyDescent="0.25">
      <c r="A32" s="24"/>
      <c r="B32" s="24"/>
      <c r="C32" s="24"/>
      <c r="D32" s="30"/>
      <c r="E32" s="24"/>
      <c r="F32" s="24"/>
      <c r="G32" s="24"/>
      <c r="H32" s="24"/>
      <c r="I32" s="24"/>
      <c r="J32" s="24"/>
      <c r="K32" s="24"/>
      <c r="L32" s="31"/>
      <c r="M32" s="31"/>
      <c r="N32" s="24"/>
      <c r="O32" s="24"/>
      <c r="P32" s="24"/>
      <c r="Q32" s="24"/>
    </row>
    <row r="33" spans="1:17" x14ac:dyDescent="0.25">
      <c r="A33" s="24"/>
      <c r="B33" s="24"/>
      <c r="C33" s="24"/>
      <c r="D33" s="30"/>
      <c r="E33" s="24"/>
      <c r="F33" s="30"/>
      <c r="G33" s="32"/>
      <c r="H33" s="24"/>
      <c r="I33" s="24"/>
      <c r="J33" s="24"/>
      <c r="K33" s="24"/>
      <c r="L33" s="31"/>
      <c r="M33" s="31"/>
      <c r="N33" s="24"/>
      <c r="O33" s="24"/>
      <c r="P33" s="24"/>
      <c r="Q33" s="24"/>
    </row>
    <row r="34" spans="1:17" x14ac:dyDescent="0.25">
      <c r="A34" s="24"/>
      <c r="B34" s="24"/>
      <c r="C34" s="24"/>
      <c r="D34" s="30"/>
      <c r="E34" s="24"/>
      <c r="F34" s="24"/>
      <c r="G34" s="32"/>
      <c r="H34" s="24"/>
      <c r="I34" s="24"/>
      <c r="J34" s="24"/>
      <c r="K34" s="24"/>
      <c r="L34" s="31"/>
      <c r="M34" s="31"/>
      <c r="N34" s="24"/>
      <c r="O34" s="24"/>
      <c r="P34" s="24"/>
      <c r="Q34" s="24"/>
    </row>
    <row r="35" spans="1:17" x14ac:dyDescent="0.25">
      <c r="A35" s="24"/>
      <c r="B35" s="24"/>
      <c r="C35" s="24"/>
      <c r="D35" s="30"/>
      <c r="E35" s="24"/>
      <c r="F35" s="24"/>
      <c r="G35" s="32"/>
      <c r="H35" s="24"/>
      <c r="I35" s="24"/>
      <c r="J35" s="24"/>
      <c r="K35" s="24"/>
      <c r="L35" s="31"/>
      <c r="M35" s="31"/>
      <c r="N35" s="24"/>
      <c r="O35" s="24"/>
      <c r="P35" s="24"/>
      <c r="Q35" s="24"/>
    </row>
    <row r="36" spans="1:17" x14ac:dyDescent="0.25">
      <c r="A36" s="24"/>
      <c r="B36" s="24"/>
      <c r="C36" s="24"/>
      <c r="D36" s="30"/>
      <c r="E36" s="24"/>
      <c r="F36" s="24"/>
      <c r="G36" s="32"/>
      <c r="H36" s="24"/>
      <c r="I36" s="24"/>
      <c r="J36" s="24"/>
      <c r="K36" s="24"/>
      <c r="L36" s="31"/>
      <c r="M36" s="31"/>
      <c r="N36" s="24"/>
      <c r="O36" s="24"/>
      <c r="P36" s="24"/>
      <c r="Q36" s="24"/>
    </row>
    <row r="37" spans="1:17" x14ac:dyDescent="0.25">
      <c r="A37" s="24"/>
      <c r="B37" s="24"/>
      <c r="C37" s="24"/>
      <c r="D37" s="30"/>
      <c r="E37" s="24"/>
      <c r="F37" s="24"/>
      <c r="G37" s="32"/>
      <c r="H37" s="24"/>
      <c r="I37" s="24"/>
      <c r="J37" s="24"/>
      <c r="K37" s="24"/>
      <c r="L37" s="31"/>
      <c r="M37" s="31"/>
      <c r="N37" s="24"/>
      <c r="O37" s="24"/>
      <c r="P37" s="24"/>
      <c r="Q37" s="24"/>
    </row>
    <row r="38" spans="1:17" x14ac:dyDescent="0.25">
      <c r="A38" s="24"/>
      <c r="B38" s="24"/>
      <c r="C38" s="24"/>
      <c r="D38" s="30"/>
      <c r="E38" s="24"/>
      <c r="F38" s="24"/>
      <c r="G38" s="32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spans="1:17" x14ac:dyDescent="0.25">
      <c r="A39" s="24"/>
      <c r="B39" s="24"/>
      <c r="C39" s="24"/>
      <c r="D39" s="30"/>
      <c r="E39" s="24"/>
      <c r="F39" s="24"/>
      <c r="G39" s="32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1:17" x14ac:dyDescent="0.25">
      <c r="A40" s="24"/>
      <c r="B40" s="24"/>
      <c r="C40" s="24"/>
      <c r="D40" s="30"/>
      <c r="E40" s="24"/>
      <c r="F40" s="24"/>
      <c r="G40" s="32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spans="1:17" x14ac:dyDescent="0.25">
      <c r="A41" s="24"/>
      <c r="B41" s="24"/>
      <c r="C41" s="24"/>
      <c r="D41" s="30"/>
      <c r="E41" s="24"/>
      <c r="F41" s="30"/>
      <c r="G41" s="32"/>
      <c r="H41" s="24"/>
      <c r="I41" s="24"/>
      <c r="J41" s="24"/>
      <c r="K41" s="24"/>
      <c r="L41" s="24"/>
      <c r="M41" s="24"/>
      <c r="N41" s="24"/>
      <c r="O41" s="24"/>
      <c r="P41" s="24"/>
      <c r="Q41" s="24"/>
    </row>
    <row r="42" spans="1:17" x14ac:dyDescent="0.25">
      <c r="A42" s="24"/>
      <c r="B42" s="24"/>
      <c r="C42" s="24"/>
      <c r="D42" s="30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</row>
    <row r="43" spans="1:17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 spans="1:17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spans="1:17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1:17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</sheetData>
  <hyperlinks>
    <hyperlink ref="X2" r:id="rId1" xr:uid="{ED77ACAA-D054-4D29-96BE-543F3A7E4B7F}"/>
  </hyperlink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workbookViewId="0">
      <pane xSplit="4" ySplit="1" topLeftCell="E17" activePane="bottomRight" state="frozen"/>
      <selection pane="topRight" activeCell="E1" sqref="E1"/>
      <selection pane="bottomLeft" activeCell="A2" sqref="A2"/>
      <selection pane="bottomRight" activeCell="A27" sqref="A27:P41"/>
    </sheetView>
  </sheetViews>
  <sheetFormatPr defaultRowHeight="15" x14ac:dyDescent="0.25"/>
  <cols>
    <col min="1" max="1" width="10.7109375" customWidth="1"/>
    <col min="2" max="2" width="10.42578125" bestFit="1" customWidth="1"/>
    <col min="4" max="4" width="10.140625" bestFit="1" customWidth="1"/>
    <col min="8" max="8" width="12.42578125" bestFit="1" customWidth="1"/>
    <col min="9" max="9" width="6.85546875" customWidth="1"/>
    <col min="10" max="11" width="4.85546875" customWidth="1"/>
    <col min="12" max="12" width="10" bestFit="1" customWidth="1"/>
    <col min="13" max="13" width="7.140625" bestFit="1" customWidth="1"/>
    <col min="14" max="14" width="4.85546875" customWidth="1"/>
    <col min="19" max="19" width="2.5703125" customWidth="1"/>
    <col min="21" max="21" width="2.28515625" customWidth="1"/>
  </cols>
  <sheetData>
    <row r="1" spans="2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12</v>
      </c>
      <c r="Q1" s="1" t="s">
        <v>63</v>
      </c>
      <c r="R1" s="1" t="s">
        <v>64</v>
      </c>
      <c r="T1" s="1" t="s">
        <v>13</v>
      </c>
      <c r="V1" s="1" t="s">
        <v>24</v>
      </c>
      <c r="X1" s="1" t="s">
        <v>59</v>
      </c>
    </row>
    <row r="2" spans="2:24" x14ac:dyDescent="0.25">
      <c r="B2" s="2">
        <v>44910</v>
      </c>
      <c r="C2" t="s">
        <v>60</v>
      </c>
      <c r="D2">
        <v>145</v>
      </c>
      <c r="E2">
        <v>35</v>
      </c>
      <c r="F2" t="s">
        <v>139</v>
      </c>
      <c r="G2">
        <v>22</v>
      </c>
      <c r="H2" t="s">
        <v>61</v>
      </c>
      <c r="I2">
        <v>170</v>
      </c>
      <c r="J2">
        <v>6.6</v>
      </c>
      <c r="O2">
        <v>165</v>
      </c>
      <c r="P2" t="s">
        <v>277</v>
      </c>
      <c r="Q2">
        <v>4</v>
      </c>
      <c r="R2">
        <v>2024</v>
      </c>
      <c r="T2" s="1"/>
      <c r="V2" s="1"/>
      <c r="X2" t="s">
        <v>276</v>
      </c>
    </row>
    <row r="3" spans="2:24" x14ac:dyDescent="0.25">
      <c r="B3" s="2">
        <v>44909</v>
      </c>
      <c r="C3" t="s">
        <v>88</v>
      </c>
      <c r="D3" s="5">
        <v>52</v>
      </c>
      <c r="E3">
        <v>20</v>
      </c>
      <c r="F3" t="s">
        <v>274</v>
      </c>
      <c r="G3" s="3">
        <v>10</v>
      </c>
      <c r="H3" t="s">
        <v>27</v>
      </c>
      <c r="I3">
        <v>145</v>
      </c>
      <c r="J3">
        <v>5</v>
      </c>
      <c r="P3" t="s">
        <v>275</v>
      </c>
      <c r="Q3">
        <v>2</v>
      </c>
      <c r="R3">
        <v>2024</v>
      </c>
      <c r="X3" t="s">
        <v>273</v>
      </c>
    </row>
    <row r="4" spans="2:24" x14ac:dyDescent="0.25">
      <c r="B4" s="2">
        <v>44879</v>
      </c>
      <c r="C4" t="s">
        <v>86</v>
      </c>
      <c r="D4" s="5">
        <v>70</v>
      </c>
      <c r="E4">
        <v>35</v>
      </c>
      <c r="F4" t="s">
        <v>139</v>
      </c>
      <c r="G4" s="3">
        <v>11</v>
      </c>
      <c r="H4" t="s">
        <v>61</v>
      </c>
      <c r="I4">
        <v>170</v>
      </c>
      <c r="J4">
        <v>6.6</v>
      </c>
      <c r="O4">
        <v>115</v>
      </c>
      <c r="P4" t="s">
        <v>271</v>
      </c>
      <c r="R4">
        <v>2024</v>
      </c>
      <c r="X4" t="s">
        <v>272</v>
      </c>
    </row>
    <row r="5" spans="2:24" x14ac:dyDescent="0.25">
      <c r="B5" s="2">
        <v>44854</v>
      </c>
      <c r="C5" t="s">
        <v>60</v>
      </c>
      <c r="D5" s="5">
        <v>105</v>
      </c>
      <c r="E5">
        <v>35</v>
      </c>
      <c r="F5" t="s">
        <v>62</v>
      </c>
      <c r="G5" s="3">
        <v>16</v>
      </c>
      <c r="H5" t="s">
        <v>61</v>
      </c>
      <c r="I5">
        <v>170</v>
      </c>
      <c r="J5">
        <v>6.6</v>
      </c>
      <c r="O5">
        <v>145</v>
      </c>
      <c r="Q5">
        <v>2</v>
      </c>
      <c r="R5">
        <v>2024</v>
      </c>
      <c r="X5" s="6" t="s">
        <v>65</v>
      </c>
    </row>
    <row r="6" spans="2:24" x14ac:dyDescent="0.25">
      <c r="B6" s="2">
        <v>44853</v>
      </c>
      <c r="C6" t="s">
        <v>10</v>
      </c>
      <c r="D6" s="4">
        <v>1044</v>
      </c>
      <c r="E6">
        <v>15</v>
      </c>
      <c r="F6" t="s">
        <v>119</v>
      </c>
      <c r="G6" s="3">
        <v>73</v>
      </c>
      <c r="H6" t="s">
        <v>11</v>
      </c>
      <c r="I6">
        <v>222</v>
      </c>
      <c r="J6">
        <v>14</v>
      </c>
      <c r="T6" t="s">
        <v>120</v>
      </c>
      <c r="X6" t="s">
        <v>121</v>
      </c>
    </row>
    <row r="7" spans="2:24" x14ac:dyDescent="0.25">
      <c r="B7" s="2">
        <v>44795</v>
      </c>
      <c r="C7" t="s">
        <v>66</v>
      </c>
      <c r="D7">
        <v>48</v>
      </c>
      <c r="E7">
        <v>20</v>
      </c>
      <c r="F7" t="s">
        <v>67</v>
      </c>
      <c r="G7" s="3">
        <v>8</v>
      </c>
      <c r="H7" t="s">
        <v>61</v>
      </c>
      <c r="I7">
        <v>170</v>
      </c>
      <c r="J7">
        <v>6.6</v>
      </c>
      <c r="O7">
        <v>135</v>
      </c>
      <c r="P7" t="s">
        <v>68</v>
      </c>
      <c r="Q7">
        <v>3</v>
      </c>
      <c r="R7">
        <v>2024</v>
      </c>
      <c r="X7" t="s">
        <v>69</v>
      </c>
    </row>
    <row r="8" spans="2:24" x14ac:dyDescent="0.25">
      <c r="B8" s="2">
        <v>44785</v>
      </c>
      <c r="C8" t="s">
        <v>75</v>
      </c>
      <c r="D8">
        <f>G8*J8</f>
        <v>345.6</v>
      </c>
      <c r="F8" t="s">
        <v>74</v>
      </c>
      <c r="G8" s="3">
        <v>96</v>
      </c>
      <c r="H8" t="s">
        <v>73</v>
      </c>
      <c r="I8">
        <v>145</v>
      </c>
      <c r="J8">
        <v>3.6</v>
      </c>
      <c r="Q8">
        <v>2</v>
      </c>
      <c r="R8">
        <v>2023</v>
      </c>
      <c r="X8" s="6" t="s">
        <v>76</v>
      </c>
    </row>
    <row r="9" spans="2:24" x14ac:dyDescent="0.25">
      <c r="B9" s="2">
        <v>44784</v>
      </c>
      <c r="C9" t="s">
        <v>70</v>
      </c>
      <c r="D9">
        <v>70</v>
      </c>
      <c r="F9" t="s">
        <v>72</v>
      </c>
      <c r="G9" s="3">
        <v>14</v>
      </c>
      <c r="H9" t="s">
        <v>27</v>
      </c>
      <c r="I9">
        <v>145</v>
      </c>
      <c r="J9">
        <v>5</v>
      </c>
      <c r="P9" t="s">
        <v>71</v>
      </c>
      <c r="X9" t="s">
        <v>77</v>
      </c>
    </row>
    <row r="10" spans="2:24" x14ac:dyDescent="0.25">
      <c r="B10" s="2">
        <v>44771</v>
      </c>
      <c r="C10" t="s">
        <v>78</v>
      </c>
      <c r="D10" s="4">
        <v>113</v>
      </c>
      <c r="E10">
        <v>15</v>
      </c>
      <c r="G10" s="3">
        <v>14</v>
      </c>
      <c r="H10" t="s">
        <v>79</v>
      </c>
      <c r="I10">
        <v>167</v>
      </c>
      <c r="J10">
        <v>8</v>
      </c>
      <c r="P10" t="s">
        <v>81</v>
      </c>
      <c r="Q10">
        <v>3</v>
      </c>
      <c r="R10">
        <v>2023</v>
      </c>
      <c r="X10" t="s">
        <v>80</v>
      </c>
    </row>
    <row r="11" spans="2:24" x14ac:dyDescent="0.25">
      <c r="B11" s="2">
        <v>44761</v>
      </c>
      <c r="C11" t="s">
        <v>86</v>
      </c>
      <c r="D11">
        <v>277</v>
      </c>
      <c r="E11">
        <v>35</v>
      </c>
      <c r="F11" t="s">
        <v>85</v>
      </c>
      <c r="G11" s="3">
        <v>42</v>
      </c>
      <c r="H11" t="s">
        <v>61</v>
      </c>
      <c r="I11">
        <v>170</v>
      </c>
      <c r="J11">
        <v>6.6</v>
      </c>
      <c r="K11">
        <v>1</v>
      </c>
      <c r="L11" t="s">
        <v>83</v>
      </c>
      <c r="M11">
        <v>155</v>
      </c>
      <c r="N11">
        <v>6.6</v>
      </c>
      <c r="P11" t="s">
        <v>84</v>
      </c>
      <c r="Q11">
        <v>1</v>
      </c>
      <c r="R11">
        <v>2025</v>
      </c>
      <c r="X11" t="s">
        <v>82</v>
      </c>
    </row>
    <row r="12" spans="2:24" x14ac:dyDescent="0.25">
      <c r="B12" s="2">
        <v>44748</v>
      </c>
      <c r="C12" t="s">
        <v>88</v>
      </c>
      <c r="D12">
        <v>60</v>
      </c>
      <c r="E12">
        <v>25</v>
      </c>
      <c r="F12" t="s">
        <v>89</v>
      </c>
      <c r="G12">
        <v>10</v>
      </c>
      <c r="H12" t="s">
        <v>27</v>
      </c>
      <c r="I12">
        <v>145</v>
      </c>
      <c r="J12">
        <v>5</v>
      </c>
      <c r="Q12">
        <v>2</v>
      </c>
      <c r="R12">
        <v>2024</v>
      </c>
      <c r="X12" t="s">
        <v>87</v>
      </c>
    </row>
    <row r="13" spans="2:24" x14ac:dyDescent="0.25">
      <c r="B13" s="2">
        <v>44747</v>
      </c>
      <c r="C13" t="s">
        <v>90</v>
      </c>
      <c r="D13">
        <v>75</v>
      </c>
      <c r="E13">
        <v>20</v>
      </c>
      <c r="F13" t="s">
        <v>91</v>
      </c>
      <c r="G13">
        <v>15</v>
      </c>
      <c r="H13" t="s">
        <v>27</v>
      </c>
      <c r="I13">
        <v>145</v>
      </c>
      <c r="J13">
        <v>5</v>
      </c>
      <c r="R13">
        <v>2024</v>
      </c>
      <c r="X13" t="s">
        <v>92</v>
      </c>
    </row>
    <row r="14" spans="2:24" x14ac:dyDescent="0.25">
      <c r="B14" s="2">
        <v>44746</v>
      </c>
      <c r="C14" t="s">
        <v>25</v>
      </c>
      <c r="D14" s="4">
        <v>927</v>
      </c>
      <c r="E14">
        <v>20</v>
      </c>
      <c r="F14" t="s">
        <v>93</v>
      </c>
      <c r="G14" s="3">
        <v>103</v>
      </c>
      <c r="H14" t="s">
        <v>94</v>
      </c>
      <c r="I14">
        <v>167</v>
      </c>
      <c r="J14">
        <v>8.6</v>
      </c>
      <c r="P14" t="s">
        <v>95</v>
      </c>
      <c r="R14">
        <v>2026</v>
      </c>
      <c r="X14" t="s">
        <v>96</v>
      </c>
    </row>
    <row r="15" spans="2:24" x14ac:dyDescent="0.25">
      <c r="B15" s="2">
        <v>44739</v>
      </c>
      <c r="C15" t="s">
        <v>25</v>
      </c>
      <c r="D15" s="4">
        <v>913</v>
      </c>
      <c r="F15" t="s">
        <v>98</v>
      </c>
      <c r="G15" s="3">
        <v>83</v>
      </c>
      <c r="H15" t="s">
        <v>99</v>
      </c>
      <c r="I15">
        <v>200</v>
      </c>
      <c r="J15">
        <v>11</v>
      </c>
      <c r="P15" t="s">
        <v>35</v>
      </c>
      <c r="R15">
        <v>2024</v>
      </c>
      <c r="X15" t="s">
        <v>97</v>
      </c>
    </row>
    <row r="16" spans="2:24" x14ac:dyDescent="0.25">
      <c r="B16" s="2">
        <v>44739</v>
      </c>
      <c r="C16" t="s">
        <v>101</v>
      </c>
      <c r="D16" s="4">
        <v>350</v>
      </c>
      <c r="F16" t="s">
        <v>14</v>
      </c>
      <c r="G16" s="3">
        <v>25</v>
      </c>
      <c r="H16" t="s">
        <v>102</v>
      </c>
      <c r="I16">
        <v>236</v>
      </c>
      <c r="J16">
        <v>14</v>
      </c>
      <c r="P16" t="s">
        <v>103</v>
      </c>
      <c r="R16">
        <v>2024</v>
      </c>
      <c r="X16" t="s">
        <v>100</v>
      </c>
    </row>
    <row r="17" spans="1:24" x14ac:dyDescent="0.25">
      <c r="B17" s="2">
        <v>44734</v>
      </c>
      <c r="C17" t="s">
        <v>104</v>
      </c>
      <c r="D17" s="4">
        <v>882</v>
      </c>
      <c r="F17" t="s">
        <v>107</v>
      </c>
      <c r="G17" s="3">
        <v>60</v>
      </c>
      <c r="H17" t="s">
        <v>11</v>
      </c>
      <c r="I17">
        <v>222</v>
      </c>
      <c r="J17">
        <v>14</v>
      </c>
      <c r="R17">
        <v>2024</v>
      </c>
      <c r="T17" t="s">
        <v>105</v>
      </c>
      <c r="X17" t="s">
        <v>106</v>
      </c>
    </row>
    <row r="18" spans="1:24" x14ac:dyDescent="0.25">
      <c r="B18" s="2">
        <v>44722</v>
      </c>
      <c r="C18" t="s">
        <v>75</v>
      </c>
      <c r="D18" s="5">
        <v>133</v>
      </c>
      <c r="G18" s="3">
        <v>37</v>
      </c>
      <c r="H18" t="s">
        <v>73</v>
      </c>
      <c r="I18">
        <v>145</v>
      </c>
      <c r="J18">
        <v>3.6</v>
      </c>
      <c r="R18">
        <v>2023</v>
      </c>
      <c r="X18" t="s">
        <v>108</v>
      </c>
    </row>
    <row r="19" spans="1:24" x14ac:dyDescent="0.25">
      <c r="B19" s="2">
        <v>44711</v>
      </c>
      <c r="C19" t="s">
        <v>88</v>
      </c>
      <c r="D19" s="5">
        <v>110</v>
      </c>
      <c r="E19">
        <v>25</v>
      </c>
      <c r="F19" t="s">
        <v>109</v>
      </c>
      <c r="G19" s="3">
        <v>22</v>
      </c>
      <c r="H19" t="s">
        <v>27</v>
      </c>
      <c r="I19">
        <v>145</v>
      </c>
      <c r="J19">
        <v>5</v>
      </c>
      <c r="Q19">
        <v>4</v>
      </c>
      <c r="R19">
        <v>2023</v>
      </c>
      <c r="X19" t="s">
        <v>110</v>
      </c>
    </row>
    <row r="20" spans="1:24" x14ac:dyDescent="0.25">
      <c r="B20" s="2">
        <v>44701</v>
      </c>
      <c r="C20" t="s">
        <v>111</v>
      </c>
      <c r="D20" s="5">
        <v>66</v>
      </c>
      <c r="F20" t="s">
        <v>113</v>
      </c>
      <c r="G20" s="3">
        <v>20</v>
      </c>
      <c r="H20" t="s">
        <v>112</v>
      </c>
      <c r="I20">
        <v>132</v>
      </c>
      <c r="J20">
        <v>3.3</v>
      </c>
      <c r="R20">
        <v>2024</v>
      </c>
      <c r="X20" t="s">
        <v>114</v>
      </c>
    </row>
    <row r="21" spans="1:24" x14ac:dyDescent="0.25">
      <c r="B21" s="2">
        <v>44614</v>
      </c>
      <c r="C21" t="s">
        <v>101</v>
      </c>
      <c r="D21" s="4">
        <v>1440</v>
      </c>
      <c r="G21">
        <v>103</v>
      </c>
      <c r="H21" t="s">
        <v>102</v>
      </c>
      <c r="I21">
        <v>236</v>
      </c>
      <c r="J21">
        <v>14</v>
      </c>
      <c r="P21" t="s">
        <v>115</v>
      </c>
      <c r="R21">
        <v>2025</v>
      </c>
      <c r="T21" t="s">
        <v>116</v>
      </c>
      <c r="X21" t="s">
        <v>118</v>
      </c>
    </row>
    <row r="22" spans="1:24" x14ac:dyDescent="0.25">
      <c r="B22" s="2">
        <v>44579</v>
      </c>
      <c r="C22" t="s">
        <v>88</v>
      </c>
      <c r="D22" s="5">
        <v>64</v>
      </c>
      <c r="E22">
        <v>5</v>
      </c>
      <c r="F22" t="s">
        <v>32</v>
      </c>
      <c r="G22" s="3">
        <v>14</v>
      </c>
      <c r="H22" t="s">
        <v>61</v>
      </c>
      <c r="I22">
        <v>170</v>
      </c>
      <c r="J22">
        <v>6.6</v>
      </c>
      <c r="K22">
        <v>2</v>
      </c>
      <c r="L22" t="s">
        <v>27</v>
      </c>
      <c r="R22">
        <v>2023</v>
      </c>
      <c r="X22" s="6" t="s">
        <v>117</v>
      </c>
    </row>
    <row r="24" spans="1:24" s="7" customFormat="1" x14ac:dyDescent="0.25">
      <c r="A24" s="7">
        <f>SUM(D2:D22)</f>
        <v>7289.6</v>
      </c>
    </row>
    <row r="27" spans="1:24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24" x14ac:dyDescent="0.25">
      <c r="A28" s="24"/>
      <c r="B28" s="29"/>
      <c r="C28" s="29"/>
      <c r="D28" s="29"/>
      <c r="E28" s="29"/>
      <c r="F28" s="24"/>
      <c r="G28" s="24"/>
      <c r="H28" s="29"/>
      <c r="I28" s="24"/>
      <c r="J28" s="24"/>
      <c r="K28" s="24"/>
      <c r="L28" s="24"/>
      <c r="M28" s="24"/>
      <c r="N28" s="24"/>
      <c r="O28" s="24"/>
      <c r="P28" s="24"/>
    </row>
    <row r="29" spans="1:24" x14ac:dyDescent="0.25">
      <c r="A29" s="24"/>
      <c r="B29" s="24"/>
      <c r="C29" s="24"/>
      <c r="D29" s="30"/>
      <c r="E29" s="24"/>
      <c r="F29" s="24"/>
      <c r="G29" s="24"/>
      <c r="H29" s="24"/>
      <c r="I29" s="24"/>
      <c r="J29" s="24"/>
      <c r="K29" s="24"/>
      <c r="L29" s="31"/>
      <c r="M29" s="31"/>
      <c r="N29" s="24"/>
      <c r="O29" s="24"/>
      <c r="P29" s="24"/>
    </row>
    <row r="30" spans="1:24" x14ac:dyDescent="0.25">
      <c r="A30" s="24"/>
      <c r="B30" s="24"/>
      <c r="C30" s="24"/>
      <c r="D30" s="30"/>
      <c r="E30" s="24"/>
      <c r="F30" s="24"/>
      <c r="G30" s="24"/>
      <c r="H30" s="24"/>
      <c r="I30" s="24"/>
      <c r="J30" s="24"/>
      <c r="K30" s="24"/>
      <c r="L30" s="31"/>
      <c r="M30" s="31"/>
      <c r="N30" s="24"/>
      <c r="O30" s="24"/>
      <c r="P30" s="24"/>
    </row>
    <row r="31" spans="1:24" x14ac:dyDescent="0.25">
      <c r="A31" s="24"/>
      <c r="B31" s="24"/>
      <c r="C31" s="24"/>
      <c r="D31" s="30"/>
      <c r="E31" s="24"/>
      <c r="F31" s="24"/>
      <c r="G31" s="24"/>
      <c r="H31" s="24"/>
      <c r="I31" s="24"/>
      <c r="J31" s="24"/>
      <c r="K31" s="24"/>
      <c r="L31" s="31"/>
      <c r="M31" s="31"/>
      <c r="N31" s="24"/>
      <c r="O31" s="24"/>
      <c r="P31" s="24"/>
    </row>
    <row r="32" spans="1:24" x14ac:dyDescent="0.25">
      <c r="A32" s="24"/>
      <c r="B32" s="24"/>
      <c r="C32" s="24"/>
      <c r="D32" s="30"/>
      <c r="E32" s="24"/>
      <c r="F32" s="24"/>
      <c r="G32" s="24"/>
      <c r="H32" s="24"/>
      <c r="I32" s="24"/>
      <c r="J32" s="24"/>
      <c r="K32" s="24"/>
      <c r="L32" s="31"/>
      <c r="M32" s="31"/>
      <c r="N32" s="24"/>
      <c r="O32" s="24"/>
      <c r="P32" s="24"/>
    </row>
    <row r="33" spans="1:16" x14ac:dyDescent="0.25">
      <c r="A33" s="24"/>
      <c r="B33" s="24"/>
      <c r="C33" s="24"/>
      <c r="D33" s="30"/>
      <c r="E33" s="24"/>
      <c r="F33" s="30"/>
      <c r="G33" s="32"/>
      <c r="H33" s="24"/>
      <c r="I33" s="24"/>
      <c r="J33" s="24"/>
      <c r="K33" s="24"/>
      <c r="L33" s="31"/>
      <c r="M33" s="31"/>
      <c r="N33" s="24"/>
      <c r="O33" s="24"/>
      <c r="P33" s="24"/>
    </row>
    <row r="34" spans="1:16" x14ac:dyDescent="0.25">
      <c r="A34" s="24"/>
      <c r="B34" s="24"/>
      <c r="C34" s="24"/>
      <c r="D34" s="30"/>
      <c r="E34" s="24"/>
      <c r="F34" s="24"/>
      <c r="G34" s="32"/>
      <c r="H34" s="24"/>
      <c r="I34" s="24"/>
      <c r="J34" s="24"/>
      <c r="K34" s="24"/>
      <c r="L34" s="31"/>
      <c r="M34" s="31"/>
      <c r="N34" s="24"/>
      <c r="O34" s="24"/>
      <c r="P34" s="24"/>
    </row>
    <row r="35" spans="1:16" x14ac:dyDescent="0.25">
      <c r="A35" s="24"/>
      <c r="B35" s="24"/>
      <c r="C35" s="24"/>
      <c r="D35" s="30"/>
      <c r="E35" s="24"/>
      <c r="F35" s="24"/>
      <c r="G35" s="32"/>
      <c r="H35" s="24"/>
      <c r="I35" s="24"/>
      <c r="J35" s="24"/>
      <c r="K35" s="24"/>
      <c r="L35" s="31"/>
      <c r="M35" s="31"/>
      <c r="N35" s="24"/>
      <c r="O35" s="24"/>
      <c r="P35" s="24"/>
    </row>
    <row r="36" spans="1:16" x14ac:dyDescent="0.25">
      <c r="A36" s="24"/>
      <c r="B36" s="24"/>
      <c r="C36" s="24"/>
      <c r="D36" s="30"/>
      <c r="E36" s="24"/>
      <c r="F36" s="24"/>
      <c r="G36" s="32"/>
      <c r="H36" s="24"/>
      <c r="I36" s="24"/>
      <c r="J36" s="24"/>
      <c r="K36" s="24"/>
      <c r="L36" s="31"/>
      <c r="M36" s="31"/>
      <c r="N36" s="24"/>
      <c r="O36" s="24"/>
      <c r="P36" s="24"/>
    </row>
    <row r="37" spans="1:16" x14ac:dyDescent="0.25">
      <c r="A37" s="24"/>
      <c r="B37" s="24"/>
      <c r="C37" s="24"/>
      <c r="D37" s="30"/>
      <c r="E37" s="24"/>
      <c r="F37" s="24"/>
      <c r="G37" s="32"/>
      <c r="H37" s="24"/>
      <c r="I37" s="24"/>
      <c r="J37" s="24"/>
      <c r="K37" s="24"/>
      <c r="L37" s="31"/>
      <c r="M37" s="31"/>
      <c r="N37" s="24"/>
      <c r="O37" s="24"/>
      <c r="P37" s="24"/>
    </row>
    <row r="38" spans="1:16" x14ac:dyDescent="0.25">
      <c r="A38" s="24"/>
      <c r="B38" s="24"/>
      <c r="C38" s="24"/>
      <c r="D38" s="30"/>
      <c r="E38" s="24"/>
      <c r="F38" s="24"/>
      <c r="G38" s="32"/>
      <c r="H38" s="24"/>
      <c r="I38" s="24"/>
      <c r="J38" s="24"/>
      <c r="K38" s="24"/>
      <c r="L38" s="24"/>
      <c r="M38" s="24"/>
      <c r="N38" s="24"/>
      <c r="O38" s="24"/>
      <c r="P38" s="24"/>
    </row>
    <row r="39" spans="1:16" x14ac:dyDescent="0.25">
      <c r="A39" s="24"/>
      <c r="B39" s="24"/>
      <c r="C39" s="24"/>
      <c r="D39" s="30"/>
      <c r="E39" s="24"/>
      <c r="F39" s="24"/>
      <c r="G39" s="32"/>
      <c r="H39" s="24"/>
      <c r="I39" s="24"/>
      <c r="J39" s="24"/>
      <c r="K39" s="24"/>
      <c r="L39" s="24"/>
      <c r="M39" s="24"/>
      <c r="N39" s="24"/>
      <c r="O39" s="24"/>
      <c r="P39" s="24"/>
    </row>
    <row r="40" spans="1:16" x14ac:dyDescent="0.25">
      <c r="A40" s="24"/>
      <c r="B40" s="24"/>
      <c r="C40" s="24"/>
      <c r="D40" s="30"/>
      <c r="E40" s="24"/>
      <c r="F40" s="24"/>
      <c r="G40" s="32"/>
      <c r="H40" s="24"/>
      <c r="I40" s="24"/>
      <c r="J40" s="24"/>
      <c r="K40" s="24"/>
      <c r="L40" s="24"/>
      <c r="M40" s="24"/>
      <c r="N40" s="24"/>
      <c r="O40" s="24"/>
      <c r="P40" s="24"/>
    </row>
    <row r="41" spans="1:16" x14ac:dyDescent="0.25">
      <c r="A41" s="24"/>
      <c r="B41" s="24"/>
      <c r="C41" s="24"/>
      <c r="D41" s="30"/>
      <c r="E41" s="24"/>
      <c r="F41" s="30"/>
      <c r="G41" s="32"/>
      <c r="H41" s="24"/>
      <c r="I41" s="24"/>
      <c r="J41" s="24"/>
      <c r="K41" s="24"/>
      <c r="L41" s="24"/>
      <c r="M41" s="24"/>
      <c r="N41" s="24"/>
      <c r="O41" s="24"/>
      <c r="P41" s="24"/>
    </row>
    <row r="42" spans="1:16" x14ac:dyDescent="0.25">
      <c r="D42" s="8"/>
    </row>
  </sheetData>
  <sortState xmlns:xlrd2="http://schemas.microsoft.com/office/spreadsheetml/2017/richdata2" ref="H29:H46">
    <sortCondition ref="H29:H46"/>
  </sortState>
  <hyperlinks>
    <hyperlink ref="X5" r:id="rId1" xr:uid="{00000000-0004-0000-0000-000000000000}"/>
    <hyperlink ref="X22" r:id="rId2" xr:uid="{9EF62FEE-79C0-408E-A24A-54579088E33F}"/>
    <hyperlink ref="X8" r:id="rId3" xr:uid="{DF5032C0-F513-46BC-B1AB-CBEE4407F1F1}"/>
  </hyperlinks>
  <pageMargins left="0.7" right="0.7" top="0.75" bottom="0.75" header="0.3" footer="0.3"/>
  <pageSetup paperSize="9" orientation="portrait" horizontalDpi="300" verticalDpi="300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7"/>
  <sheetViews>
    <sheetView workbookViewId="0">
      <pane xSplit="4" ySplit="1" topLeftCell="E14" activePane="bottomRight" state="frozen"/>
      <selection pane="topRight" activeCell="E1" sqref="E1"/>
      <selection pane="bottomLeft" activeCell="A2" sqref="A2"/>
      <selection pane="bottomRight" activeCell="A34" sqref="A34:P57"/>
    </sheetView>
  </sheetViews>
  <sheetFormatPr defaultRowHeight="15" x14ac:dyDescent="0.25"/>
  <cols>
    <col min="1" max="1" width="10" customWidth="1"/>
    <col min="2" max="2" width="10.42578125" bestFit="1" customWidth="1"/>
    <col min="4" max="4" width="10.140625" bestFit="1" customWidth="1"/>
    <col min="8" max="8" width="12.42578125" bestFit="1" customWidth="1"/>
    <col min="9" max="9" width="6.85546875" customWidth="1"/>
    <col min="10" max="11" width="4.85546875" customWidth="1"/>
    <col min="12" max="12" width="10" bestFit="1" customWidth="1"/>
    <col min="13" max="13" width="6.140625" bestFit="1" customWidth="1"/>
    <col min="14" max="14" width="4.85546875" customWidth="1"/>
    <col min="19" max="19" width="2.5703125" customWidth="1"/>
    <col min="21" max="21" width="2.28515625" customWidth="1"/>
  </cols>
  <sheetData>
    <row r="1" spans="2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12</v>
      </c>
      <c r="Q1" s="1" t="s">
        <v>63</v>
      </c>
      <c r="R1" s="1" t="s">
        <v>64</v>
      </c>
      <c r="T1" s="1" t="s">
        <v>13</v>
      </c>
      <c r="V1" s="1" t="s">
        <v>24</v>
      </c>
      <c r="X1" s="1" t="s">
        <v>59</v>
      </c>
    </row>
    <row r="2" spans="2:24" x14ac:dyDescent="0.25">
      <c r="B2" s="2"/>
      <c r="D2" s="4"/>
      <c r="G2" s="3"/>
    </row>
    <row r="3" spans="2:24" x14ac:dyDescent="0.25">
      <c r="B3" s="2">
        <v>44560</v>
      </c>
      <c r="C3" t="s">
        <v>86</v>
      </c>
      <c r="D3" s="5">
        <v>260</v>
      </c>
      <c r="E3">
        <v>25</v>
      </c>
      <c r="F3" t="s">
        <v>123</v>
      </c>
      <c r="G3" s="3">
        <v>42</v>
      </c>
      <c r="H3" t="s">
        <v>61</v>
      </c>
      <c r="I3">
        <v>170</v>
      </c>
      <c r="J3">
        <v>6.6</v>
      </c>
      <c r="O3" t="s">
        <v>124</v>
      </c>
      <c r="P3" t="s">
        <v>122</v>
      </c>
      <c r="R3">
        <v>2023</v>
      </c>
      <c r="X3" s="6" t="s">
        <v>125</v>
      </c>
    </row>
    <row r="4" spans="2:24" x14ac:dyDescent="0.25">
      <c r="B4" s="2">
        <v>44557</v>
      </c>
      <c r="C4" t="s">
        <v>75</v>
      </c>
      <c r="D4" s="5">
        <v>302</v>
      </c>
      <c r="F4" t="s">
        <v>126</v>
      </c>
      <c r="G4" s="3">
        <v>84</v>
      </c>
      <c r="H4" t="s">
        <v>73</v>
      </c>
      <c r="I4">
        <v>145</v>
      </c>
      <c r="J4">
        <v>3.6</v>
      </c>
      <c r="R4">
        <v>2023</v>
      </c>
      <c r="X4" s="6" t="s">
        <v>131</v>
      </c>
    </row>
    <row r="5" spans="2:24" x14ac:dyDescent="0.25">
      <c r="B5" s="2">
        <v>44550</v>
      </c>
      <c r="C5" t="s">
        <v>33</v>
      </c>
      <c r="D5" s="4">
        <v>2600</v>
      </c>
      <c r="E5">
        <v>10</v>
      </c>
      <c r="G5" s="3">
        <v>176</v>
      </c>
      <c r="H5" t="s">
        <v>127</v>
      </c>
      <c r="I5">
        <v>222</v>
      </c>
      <c r="J5">
        <v>14</v>
      </c>
      <c r="P5" t="s">
        <v>128</v>
      </c>
      <c r="R5">
        <v>2026</v>
      </c>
      <c r="T5" t="s">
        <v>129</v>
      </c>
      <c r="X5" s="6" t="s">
        <v>130</v>
      </c>
    </row>
    <row r="6" spans="2:24" x14ac:dyDescent="0.25">
      <c r="B6" s="2">
        <v>44550</v>
      </c>
      <c r="C6" t="s">
        <v>25</v>
      </c>
      <c r="D6" s="4">
        <v>242</v>
      </c>
      <c r="E6">
        <v>5</v>
      </c>
      <c r="F6" t="s">
        <v>98</v>
      </c>
      <c r="G6" s="3">
        <v>23</v>
      </c>
      <c r="H6" t="s">
        <v>99</v>
      </c>
      <c r="I6">
        <v>200</v>
      </c>
      <c r="J6">
        <v>11</v>
      </c>
      <c r="P6" t="s">
        <v>132</v>
      </c>
      <c r="R6">
        <v>2024</v>
      </c>
      <c r="X6" t="s">
        <v>137</v>
      </c>
    </row>
    <row r="7" spans="2:24" x14ac:dyDescent="0.25">
      <c r="B7" s="2">
        <v>44545</v>
      </c>
      <c r="C7" t="s">
        <v>133</v>
      </c>
      <c r="D7" s="4">
        <v>344</v>
      </c>
      <c r="E7">
        <v>3</v>
      </c>
      <c r="F7" t="s">
        <v>135</v>
      </c>
      <c r="G7" s="3">
        <v>41</v>
      </c>
      <c r="H7" t="s">
        <v>28</v>
      </c>
      <c r="I7">
        <v>167</v>
      </c>
      <c r="J7">
        <v>8</v>
      </c>
      <c r="P7" t="s">
        <v>134</v>
      </c>
      <c r="R7">
        <v>2023</v>
      </c>
      <c r="X7" t="s">
        <v>136</v>
      </c>
    </row>
    <row r="8" spans="2:24" x14ac:dyDescent="0.25">
      <c r="B8" s="2">
        <v>44524</v>
      </c>
      <c r="C8" t="s">
        <v>60</v>
      </c>
      <c r="D8" s="5">
        <v>455</v>
      </c>
      <c r="E8">
        <v>35</v>
      </c>
      <c r="F8" t="s">
        <v>139</v>
      </c>
      <c r="G8" s="3">
        <v>69</v>
      </c>
      <c r="H8" t="s">
        <v>61</v>
      </c>
      <c r="I8">
        <v>170</v>
      </c>
      <c r="J8">
        <v>6.6</v>
      </c>
      <c r="P8" t="s">
        <v>140</v>
      </c>
      <c r="R8">
        <v>2024</v>
      </c>
      <c r="X8" t="s">
        <v>138</v>
      </c>
    </row>
    <row r="9" spans="2:24" x14ac:dyDescent="0.25">
      <c r="B9" s="2">
        <v>44518</v>
      </c>
      <c r="C9" t="s">
        <v>142</v>
      </c>
      <c r="D9" s="4">
        <v>100</v>
      </c>
      <c r="F9" t="s">
        <v>144</v>
      </c>
      <c r="G9" s="3">
        <v>20</v>
      </c>
      <c r="H9" t="s">
        <v>27</v>
      </c>
      <c r="I9">
        <v>145</v>
      </c>
      <c r="J9">
        <v>5.2</v>
      </c>
      <c r="P9" t="s">
        <v>143</v>
      </c>
      <c r="X9" t="s">
        <v>141</v>
      </c>
    </row>
    <row r="10" spans="2:24" x14ac:dyDescent="0.25">
      <c r="B10" s="2">
        <v>44412</v>
      </c>
      <c r="C10" t="s">
        <v>86</v>
      </c>
      <c r="D10" s="5">
        <v>242</v>
      </c>
      <c r="E10">
        <v>30</v>
      </c>
      <c r="F10" t="s">
        <v>147</v>
      </c>
      <c r="G10" s="3">
        <v>39</v>
      </c>
      <c r="H10" t="s">
        <v>145</v>
      </c>
      <c r="P10" t="s">
        <v>146</v>
      </c>
      <c r="Q10">
        <v>1</v>
      </c>
      <c r="R10">
        <v>2024</v>
      </c>
      <c r="X10" t="s">
        <v>148</v>
      </c>
    </row>
    <row r="11" spans="2:24" x14ac:dyDescent="0.25">
      <c r="B11" s="2">
        <v>44397</v>
      </c>
      <c r="C11" t="s">
        <v>75</v>
      </c>
      <c r="D11" s="5">
        <v>322</v>
      </c>
      <c r="F11" t="s">
        <v>150</v>
      </c>
      <c r="G11" s="3">
        <v>93</v>
      </c>
      <c r="H11" t="s">
        <v>151</v>
      </c>
      <c r="P11" t="s">
        <v>152</v>
      </c>
      <c r="X11" t="s">
        <v>149</v>
      </c>
    </row>
    <row r="12" spans="2:24" x14ac:dyDescent="0.25">
      <c r="B12" s="2">
        <v>44371</v>
      </c>
      <c r="C12" t="s">
        <v>88</v>
      </c>
      <c r="D12" s="5">
        <v>85</v>
      </c>
      <c r="E12">
        <v>15</v>
      </c>
      <c r="G12" s="3">
        <v>17</v>
      </c>
      <c r="H12" t="s">
        <v>27</v>
      </c>
      <c r="Q12">
        <v>3</v>
      </c>
      <c r="R12">
        <v>2022</v>
      </c>
      <c r="X12" t="s">
        <v>153</v>
      </c>
    </row>
    <row r="13" spans="2:24" x14ac:dyDescent="0.25">
      <c r="B13" s="2">
        <v>44352</v>
      </c>
      <c r="C13" t="s">
        <v>70</v>
      </c>
      <c r="D13" s="5">
        <v>160</v>
      </c>
      <c r="E13">
        <v>5</v>
      </c>
      <c r="F13" t="s">
        <v>154</v>
      </c>
      <c r="G13" s="3">
        <v>18</v>
      </c>
      <c r="H13" t="s">
        <v>27</v>
      </c>
      <c r="K13">
        <v>14</v>
      </c>
      <c r="L13" t="s">
        <v>155</v>
      </c>
      <c r="R13">
        <v>2022</v>
      </c>
      <c r="X13" t="s">
        <v>156</v>
      </c>
    </row>
    <row r="14" spans="2:24" x14ac:dyDescent="0.25">
      <c r="B14" s="2">
        <v>44299</v>
      </c>
      <c r="C14" t="s">
        <v>157</v>
      </c>
      <c r="D14" s="5">
        <v>260</v>
      </c>
      <c r="G14" s="3">
        <v>50</v>
      </c>
      <c r="H14" t="s">
        <v>27</v>
      </c>
      <c r="J14" t="s">
        <v>158</v>
      </c>
      <c r="Q14">
        <v>1</v>
      </c>
      <c r="R14">
        <v>2023</v>
      </c>
      <c r="X14" t="s">
        <v>159</v>
      </c>
    </row>
    <row r="15" spans="2:24" x14ac:dyDescent="0.25">
      <c r="B15" s="2">
        <v>44286</v>
      </c>
      <c r="C15" t="s">
        <v>104</v>
      </c>
      <c r="D15" s="4">
        <v>1400</v>
      </c>
      <c r="F15" t="s">
        <v>14</v>
      </c>
      <c r="G15" s="3">
        <v>100</v>
      </c>
      <c r="H15" t="s">
        <v>11</v>
      </c>
      <c r="I15">
        <v>222</v>
      </c>
      <c r="J15">
        <v>14</v>
      </c>
      <c r="P15" t="s">
        <v>15</v>
      </c>
      <c r="R15">
        <v>2023</v>
      </c>
      <c r="T15" t="s">
        <v>281</v>
      </c>
      <c r="X15" t="s">
        <v>160</v>
      </c>
    </row>
    <row r="16" spans="2:24" x14ac:dyDescent="0.25">
      <c r="B16" s="2">
        <v>44285</v>
      </c>
      <c r="C16" t="s">
        <v>88</v>
      </c>
      <c r="D16" s="5">
        <v>120</v>
      </c>
      <c r="F16" t="s">
        <v>163</v>
      </c>
      <c r="G16" s="3">
        <v>24</v>
      </c>
      <c r="H16" t="s">
        <v>27</v>
      </c>
      <c r="Q16">
        <v>1</v>
      </c>
      <c r="R16">
        <v>2022</v>
      </c>
      <c r="X16" t="s">
        <v>162</v>
      </c>
    </row>
    <row r="17" spans="1:24" x14ac:dyDescent="0.25">
      <c r="B17" s="2">
        <v>44281</v>
      </c>
      <c r="C17" t="s">
        <v>86</v>
      </c>
      <c r="D17" s="5">
        <v>86</v>
      </c>
      <c r="E17">
        <v>20</v>
      </c>
      <c r="F17" t="s">
        <v>165</v>
      </c>
      <c r="G17" s="3">
        <v>6</v>
      </c>
      <c r="H17" t="s">
        <v>145</v>
      </c>
      <c r="P17" t="s">
        <v>164</v>
      </c>
      <c r="R17">
        <v>2022</v>
      </c>
      <c r="X17" t="s">
        <v>166</v>
      </c>
    </row>
    <row r="18" spans="1:24" x14ac:dyDescent="0.25">
      <c r="B18" s="2">
        <v>44280</v>
      </c>
      <c r="C18" t="s">
        <v>168</v>
      </c>
      <c r="D18" s="5">
        <v>97</v>
      </c>
      <c r="G18" s="3">
        <v>28</v>
      </c>
      <c r="H18" t="s">
        <v>169</v>
      </c>
      <c r="Q18">
        <v>2</v>
      </c>
      <c r="R18">
        <v>2022</v>
      </c>
      <c r="X18" t="s">
        <v>167</v>
      </c>
    </row>
    <row r="19" spans="1:24" x14ac:dyDescent="0.25">
      <c r="B19" s="2">
        <v>44265</v>
      </c>
      <c r="C19" t="s">
        <v>171</v>
      </c>
      <c r="D19" s="5">
        <v>176</v>
      </c>
      <c r="E19">
        <v>30</v>
      </c>
      <c r="F19" t="s">
        <v>173</v>
      </c>
      <c r="G19" s="3">
        <v>41</v>
      </c>
      <c r="H19" t="s">
        <v>172</v>
      </c>
      <c r="X19" t="s">
        <v>170</v>
      </c>
    </row>
    <row r="20" spans="1:24" x14ac:dyDescent="0.25">
      <c r="B20" s="2">
        <v>44264</v>
      </c>
      <c r="C20" t="s">
        <v>88</v>
      </c>
      <c r="D20" s="5">
        <v>150</v>
      </c>
      <c r="E20">
        <v>20</v>
      </c>
      <c r="G20" s="3">
        <v>30</v>
      </c>
      <c r="H20" t="s">
        <v>27</v>
      </c>
      <c r="X20" t="s">
        <v>174</v>
      </c>
    </row>
    <row r="21" spans="1:24" x14ac:dyDescent="0.25">
      <c r="B21" s="2">
        <v>44259</v>
      </c>
      <c r="C21" t="s">
        <v>104</v>
      </c>
      <c r="D21" s="5">
        <v>50</v>
      </c>
      <c r="E21">
        <v>25</v>
      </c>
      <c r="G21" s="3">
        <v>8</v>
      </c>
      <c r="H21" t="s">
        <v>176</v>
      </c>
      <c r="P21" t="s">
        <v>177</v>
      </c>
      <c r="X21" t="s">
        <v>175</v>
      </c>
    </row>
    <row r="22" spans="1:24" x14ac:dyDescent="0.25">
      <c r="B22" s="2">
        <v>44249</v>
      </c>
      <c r="C22" t="s">
        <v>19</v>
      </c>
      <c r="D22" s="4">
        <f>G22*J22</f>
        <v>448</v>
      </c>
      <c r="E22">
        <v>15</v>
      </c>
      <c r="F22" t="s">
        <v>17</v>
      </c>
      <c r="G22" s="3">
        <v>64</v>
      </c>
      <c r="H22" t="s">
        <v>16</v>
      </c>
      <c r="I22">
        <v>154</v>
      </c>
      <c r="J22">
        <v>7</v>
      </c>
      <c r="P22" t="s">
        <v>31</v>
      </c>
      <c r="T22" t="s">
        <v>18</v>
      </c>
      <c r="X22" t="s">
        <v>178</v>
      </c>
    </row>
    <row r="23" spans="1:24" x14ac:dyDescent="0.25">
      <c r="B23" s="2">
        <v>44238</v>
      </c>
      <c r="C23" t="s">
        <v>20</v>
      </c>
      <c r="D23" s="4">
        <f>G23*J23</f>
        <v>759</v>
      </c>
      <c r="E23">
        <v>15</v>
      </c>
      <c r="F23" t="s">
        <v>22</v>
      </c>
      <c r="G23" s="3">
        <v>69</v>
      </c>
      <c r="H23" t="s">
        <v>21</v>
      </c>
      <c r="I23">
        <v>200</v>
      </c>
      <c r="J23">
        <v>11</v>
      </c>
      <c r="P23" t="s">
        <v>23</v>
      </c>
      <c r="X23" t="s">
        <v>179</v>
      </c>
    </row>
    <row r="24" spans="1:24" x14ac:dyDescent="0.25">
      <c r="B24" s="2">
        <v>44236</v>
      </c>
      <c r="C24" t="s">
        <v>86</v>
      </c>
      <c r="D24" s="5">
        <v>62</v>
      </c>
      <c r="E24">
        <v>30</v>
      </c>
      <c r="F24" t="s">
        <v>180</v>
      </c>
      <c r="G24" s="3">
        <v>7</v>
      </c>
      <c r="H24" t="s">
        <v>145</v>
      </c>
      <c r="O24">
        <v>115</v>
      </c>
      <c r="P24" t="s">
        <v>182</v>
      </c>
      <c r="Q24">
        <v>4</v>
      </c>
      <c r="R24">
        <v>2022</v>
      </c>
      <c r="X24" t="s">
        <v>181</v>
      </c>
    </row>
    <row r="25" spans="1:24" x14ac:dyDescent="0.25">
      <c r="B25" s="2">
        <v>44218</v>
      </c>
      <c r="C25" t="s">
        <v>184</v>
      </c>
      <c r="D25" s="5">
        <v>434</v>
      </c>
      <c r="G25" s="3">
        <v>70</v>
      </c>
      <c r="H25" t="s">
        <v>145</v>
      </c>
      <c r="P25" t="s">
        <v>185</v>
      </c>
      <c r="X25" t="s">
        <v>183</v>
      </c>
    </row>
    <row r="26" spans="1:24" x14ac:dyDescent="0.25">
      <c r="B26" s="2">
        <v>44214</v>
      </c>
      <c r="C26" t="s">
        <v>60</v>
      </c>
      <c r="D26" s="5">
        <v>81</v>
      </c>
      <c r="F26" t="s">
        <v>187</v>
      </c>
      <c r="G26" s="3">
        <v>14</v>
      </c>
      <c r="H26" t="s">
        <v>176</v>
      </c>
      <c r="R26">
        <v>2022</v>
      </c>
      <c r="X26" t="s">
        <v>186</v>
      </c>
    </row>
    <row r="27" spans="1:24" x14ac:dyDescent="0.25">
      <c r="B27" s="2">
        <v>44211</v>
      </c>
      <c r="C27" t="s">
        <v>26</v>
      </c>
      <c r="D27" s="5">
        <v>100</v>
      </c>
      <c r="F27" t="s">
        <v>191</v>
      </c>
      <c r="G27" s="3">
        <v>25</v>
      </c>
      <c r="H27" t="s">
        <v>189</v>
      </c>
      <c r="J27">
        <f>D27/G27</f>
        <v>4</v>
      </c>
      <c r="Q27">
        <v>3</v>
      </c>
      <c r="R27">
        <v>2021</v>
      </c>
      <c r="X27" t="s">
        <v>188</v>
      </c>
    </row>
    <row r="28" spans="1:24" x14ac:dyDescent="0.25">
      <c r="B28" s="2">
        <v>44211</v>
      </c>
      <c r="C28" t="s">
        <v>26</v>
      </c>
      <c r="D28" s="5">
        <v>117</v>
      </c>
      <c r="G28" s="3">
        <v>29</v>
      </c>
      <c r="H28" t="s">
        <v>189</v>
      </c>
      <c r="X28" t="s">
        <v>190</v>
      </c>
    </row>
    <row r="29" spans="1:24" x14ac:dyDescent="0.25">
      <c r="B29" s="2">
        <v>44200</v>
      </c>
      <c r="C29" t="s">
        <v>192</v>
      </c>
      <c r="D29" s="5">
        <v>100</v>
      </c>
      <c r="F29" t="s">
        <v>193</v>
      </c>
      <c r="G29" s="3">
        <v>29</v>
      </c>
      <c r="H29" t="s">
        <v>169</v>
      </c>
      <c r="Q29">
        <v>2</v>
      </c>
      <c r="R29">
        <v>2023</v>
      </c>
      <c r="X29" t="s">
        <v>194</v>
      </c>
    </row>
    <row r="31" spans="1:24" s="7" customFormat="1" x14ac:dyDescent="0.25">
      <c r="A31" s="7">
        <f>SUM(D2:D29)</f>
        <v>9552</v>
      </c>
    </row>
    <row r="34" spans="1:16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x14ac:dyDescent="0.25">
      <c r="A35" s="24"/>
      <c r="B35" s="29"/>
      <c r="C35" s="29"/>
      <c r="D35" s="29"/>
      <c r="E35" s="24"/>
      <c r="F35" s="24"/>
      <c r="G35" s="24"/>
      <c r="H35" s="29"/>
      <c r="I35" s="24"/>
      <c r="J35" s="24"/>
      <c r="K35" s="24"/>
      <c r="L35" s="24"/>
      <c r="M35" s="24"/>
      <c r="N35" s="24"/>
      <c r="O35" s="24"/>
      <c r="P35" s="24"/>
    </row>
    <row r="36" spans="1:16" x14ac:dyDescent="0.25">
      <c r="A36" s="24"/>
      <c r="B36" s="24"/>
      <c r="C36" s="24"/>
      <c r="D36" s="30"/>
      <c r="E36" s="24"/>
      <c r="F36" s="30"/>
      <c r="G36" s="31"/>
      <c r="H36" s="24"/>
      <c r="I36" s="24"/>
      <c r="J36" s="24"/>
      <c r="K36" s="24"/>
      <c r="L36" s="32"/>
      <c r="M36" s="32"/>
      <c r="N36" s="24"/>
      <c r="O36" s="24"/>
      <c r="P36" s="24"/>
    </row>
    <row r="37" spans="1:16" x14ac:dyDescent="0.25">
      <c r="A37" s="24"/>
      <c r="B37" s="24"/>
      <c r="C37" s="24"/>
      <c r="D37" s="30"/>
      <c r="E37" s="24"/>
      <c r="F37" s="24"/>
      <c r="G37" s="24"/>
      <c r="H37" s="24"/>
      <c r="I37" s="24"/>
      <c r="J37" s="24"/>
      <c r="K37" s="24"/>
      <c r="L37" s="32"/>
      <c r="M37" s="32"/>
      <c r="N37" s="24"/>
      <c r="O37" s="24"/>
      <c r="P37" s="24"/>
    </row>
    <row r="38" spans="1:16" x14ac:dyDescent="0.25">
      <c r="A38" s="24"/>
      <c r="B38" s="24"/>
      <c r="C38" s="24"/>
      <c r="D38" s="30"/>
      <c r="E38" s="24"/>
      <c r="F38" s="24"/>
      <c r="G38" s="24"/>
      <c r="H38" s="24"/>
      <c r="I38" s="24"/>
      <c r="J38" s="24"/>
      <c r="K38" s="24"/>
      <c r="L38" s="32"/>
      <c r="M38" s="32"/>
      <c r="N38" s="24"/>
      <c r="O38" s="24"/>
      <c r="P38" s="24"/>
    </row>
    <row r="39" spans="1:16" x14ac:dyDescent="0.25">
      <c r="A39" s="24"/>
      <c r="B39" s="24"/>
      <c r="C39" s="24"/>
      <c r="D39" s="30"/>
      <c r="E39" s="24"/>
      <c r="F39" s="30"/>
      <c r="G39" s="31"/>
      <c r="H39" s="24"/>
      <c r="I39" s="24"/>
      <c r="J39" s="24"/>
      <c r="K39" s="24"/>
      <c r="L39" s="32"/>
      <c r="M39" s="32"/>
      <c r="N39" s="24"/>
      <c r="O39" s="24"/>
      <c r="P39" s="24"/>
    </row>
    <row r="40" spans="1:16" x14ac:dyDescent="0.25">
      <c r="A40" s="24"/>
      <c r="B40" s="24"/>
      <c r="C40" s="24"/>
      <c r="D40" s="30"/>
      <c r="E40" s="24"/>
      <c r="F40" s="30"/>
      <c r="G40" s="31"/>
      <c r="H40" s="24"/>
      <c r="I40" s="24"/>
      <c r="J40" s="24"/>
      <c r="K40" s="24"/>
      <c r="L40" s="32"/>
      <c r="M40" s="32"/>
      <c r="N40" s="24"/>
      <c r="O40" s="24"/>
      <c r="P40" s="24"/>
    </row>
    <row r="41" spans="1:16" x14ac:dyDescent="0.25">
      <c r="A41" s="24"/>
      <c r="B41" s="24"/>
      <c r="C41" s="24"/>
      <c r="D41" s="30"/>
      <c r="E41" s="24"/>
      <c r="F41" s="24"/>
      <c r="G41" s="24"/>
      <c r="H41" s="24"/>
      <c r="I41" s="24"/>
      <c r="J41" s="24"/>
      <c r="K41" s="24"/>
      <c r="L41" s="32"/>
      <c r="M41" s="32"/>
      <c r="N41" s="24"/>
      <c r="O41" s="24"/>
      <c r="P41" s="24"/>
    </row>
    <row r="42" spans="1:16" x14ac:dyDescent="0.25">
      <c r="A42" s="24"/>
      <c r="B42" s="24"/>
      <c r="C42" s="24"/>
      <c r="D42" s="30"/>
      <c r="E42" s="24"/>
      <c r="F42" s="24"/>
      <c r="G42" s="24"/>
      <c r="H42" s="24"/>
      <c r="I42" s="24"/>
      <c r="J42" s="24"/>
      <c r="K42" s="24"/>
      <c r="L42" s="32"/>
      <c r="M42" s="32"/>
      <c r="N42" s="24"/>
      <c r="O42" s="24"/>
      <c r="P42" s="24"/>
    </row>
    <row r="43" spans="1:16" x14ac:dyDescent="0.25">
      <c r="A43" s="24"/>
      <c r="B43" s="24"/>
      <c r="C43" s="24"/>
      <c r="D43" s="30"/>
      <c r="E43" s="24"/>
      <c r="F43" s="24"/>
      <c r="G43" s="24"/>
      <c r="H43" s="24"/>
      <c r="I43" s="24"/>
      <c r="J43" s="24"/>
      <c r="K43" s="24"/>
      <c r="L43" s="32"/>
      <c r="M43" s="32"/>
      <c r="N43" s="24"/>
      <c r="O43" s="24"/>
      <c r="P43" s="24"/>
    </row>
    <row r="44" spans="1:16" x14ac:dyDescent="0.25">
      <c r="A44" s="24"/>
      <c r="B44" s="24"/>
      <c r="C44" s="24"/>
      <c r="D44" s="30"/>
      <c r="E44" s="24"/>
      <c r="F44" s="24"/>
      <c r="G44" s="24"/>
      <c r="H44" s="24"/>
      <c r="I44" s="24"/>
      <c r="J44" s="24"/>
      <c r="K44" s="24"/>
      <c r="L44" s="32"/>
      <c r="M44" s="32"/>
      <c r="N44" s="24"/>
      <c r="O44" s="24"/>
      <c r="P44" s="24"/>
    </row>
    <row r="45" spans="1:16" x14ac:dyDescent="0.25">
      <c r="A45" s="24"/>
      <c r="B45" s="24"/>
      <c r="C45" s="24"/>
      <c r="D45" s="30"/>
      <c r="E45" s="24"/>
      <c r="F45" s="24"/>
      <c r="G45" s="24"/>
      <c r="H45" s="24"/>
      <c r="I45" s="24"/>
      <c r="J45" s="24"/>
      <c r="K45" s="24"/>
      <c r="L45" s="32"/>
      <c r="M45" s="32"/>
      <c r="N45" s="24"/>
      <c r="O45" s="24"/>
      <c r="P45" s="24"/>
    </row>
    <row r="46" spans="1:16" x14ac:dyDescent="0.25">
      <c r="A46" s="24"/>
      <c r="B46" s="24"/>
      <c r="C46" s="24"/>
      <c r="D46" s="30"/>
      <c r="E46" s="24"/>
      <c r="F46" s="24"/>
      <c r="G46" s="24"/>
      <c r="H46" s="24"/>
      <c r="I46" s="24"/>
      <c r="J46" s="24"/>
      <c r="K46" s="24"/>
      <c r="L46" s="32"/>
      <c r="M46" s="32"/>
      <c r="N46" s="24"/>
      <c r="O46" s="24"/>
      <c r="P46" s="24"/>
    </row>
    <row r="47" spans="1:16" x14ac:dyDescent="0.25">
      <c r="A47" s="24"/>
      <c r="B47" s="24"/>
      <c r="C47" s="24"/>
      <c r="D47" s="30"/>
      <c r="E47" s="24"/>
      <c r="F47" s="24"/>
      <c r="G47" s="24"/>
      <c r="H47" s="24"/>
      <c r="I47" s="24"/>
      <c r="J47" s="24"/>
      <c r="K47" s="24"/>
      <c r="L47" s="32"/>
      <c r="M47" s="32"/>
      <c r="N47" s="24"/>
      <c r="O47" s="24"/>
      <c r="P47" s="24"/>
    </row>
    <row r="48" spans="1:16" x14ac:dyDescent="0.25">
      <c r="A48" s="24"/>
      <c r="B48" s="24"/>
      <c r="C48" s="24"/>
      <c r="D48" s="30"/>
      <c r="E48" s="24"/>
      <c r="F48" s="24"/>
      <c r="G48" s="24"/>
      <c r="H48" s="24"/>
      <c r="I48" s="24"/>
      <c r="J48" s="24"/>
      <c r="K48" s="24"/>
      <c r="L48" s="32"/>
      <c r="M48" s="32"/>
      <c r="N48" s="24"/>
      <c r="O48" s="24"/>
      <c r="P48" s="24"/>
    </row>
    <row r="49" spans="1:16" x14ac:dyDescent="0.25">
      <c r="A49" s="24"/>
      <c r="B49" s="24"/>
      <c r="C49" s="24"/>
      <c r="D49" s="30"/>
      <c r="E49" s="33"/>
      <c r="F49" s="30"/>
      <c r="G49" s="31"/>
      <c r="H49" s="24"/>
      <c r="I49" s="24"/>
      <c r="J49" s="24"/>
      <c r="K49" s="24"/>
      <c r="L49" s="32"/>
      <c r="M49" s="32"/>
      <c r="N49" s="24"/>
      <c r="O49" s="24"/>
      <c r="P49" s="24"/>
    </row>
    <row r="50" spans="1:16" x14ac:dyDescent="0.25">
      <c r="A50" s="24"/>
      <c r="B50" s="24"/>
      <c r="C50" s="24"/>
      <c r="D50" s="30"/>
      <c r="E50" s="33"/>
      <c r="F50" s="24"/>
      <c r="G50" s="24"/>
      <c r="H50" s="24"/>
      <c r="I50" s="24"/>
      <c r="J50" s="24"/>
      <c r="K50" s="24"/>
      <c r="L50" s="32"/>
      <c r="M50" s="32"/>
      <c r="N50" s="24"/>
      <c r="O50" s="24"/>
      <c r="P50" s="24"/>
    </row>
    <row r="51" spans="1:16" x14ac:dyDescent="0.25">
      <c r="A51" s="24"/>
      <c r="B51" s="24"/>
      <c r="C51" s="24"/>
      <c r="D51" s="30"/>
      <c r="E51" s="24"/>
      <c r="F51" s="30"/>
      <c r="G51" s="31"/>
      <c r="H51" s="24"/>
      <c r="I51" s="24"/>
      <c r="J51" s="24"/>
      <c r="K51" s="24"/>
      <c r="L51" s="24"/>
      <c r="M51" s="24"/>
      <c r="N51" s="24"/>
      <c r="O51" s="24"/>
      <c r="P51" s="24"/>
    </row>
    <row r="52" spans="1:16" x14ac:dyDescent="0.25">
      <c r="A52" s="24"/>
      <c r="B52" s="24"/>
      <c r="C52" s="24"/>
      <c r="D52" s="30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1:16" x14ac:dyDescent="0.25">
      <c r="A53" s="24"/>
      <c r="B53" s="24"/>
      <c r="C53" s="24"/>
      <c r="D53" s="30"/>
      <c r="E53" s="24"/>
      <c r="F53" s="30"/>
      <c r="G53" s="31"/>
      <c r="H53" s="24"/>
      <c r="I53" s="24"/>
      <c r="J53" s="24"/>
      <c r="K53" s="24"/>
      <c r="L53" s="24"/>
      <c r="M53" s="24"/>
      <c r="N53" s="24"/>
      <c r="O53" s="24"/>
      <c r="P53" s="24"/>
    </row>
    <row r="54" spans="1:16" x14ac:dyDescent="0.25">
      <c r="A54" s="24"/>
      <c r="B54" s="24"/>
      <c r="C54" s="24"/>
      <c r="D54" s="30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6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spans="1:16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</sheetData>
  <sortState xmlns:xlrd2="http://schemas.microsoft.com/office/spreadsheetml/2017/richdata2" ref="H36:H51">
    <sortCondition ref="H36:H51"/>
  </sortState>
  <hyperlinks>
    <hyperlink ref="X5" r:id="rId1" xr:uid="{00000000-0004-0000-0100-000000000000}"/>
    <hyperlink ref="X3" r:id="rId2" xr:uid="{00000000-0004-0000-0100-000001000000}"/>
  </hyperlinks>
  <pageMargins left="0.7" right="0.7" top="0.75" bottom="0.75" header="0.3" footer="0.3"/>
  <pageSetup paperSize="9" orientation="landscape" horizontalDpi="300" verticalDpi="300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2"/>
  <sheetViews>
    <sheetView workbookViewId="0">
      <pane xSplit="4" ySplit="1" topLeftCell="E11" activePane="bottomRight" state="frozen"/>
      <selection pane="topRight" activeCell="E1" sqref="E1"/>
      <selection pane="bottomLeft" activeCell="A2" sqref="A2"/>
      <selection pane="bottomRight" activeCell="A32" sqref="A32:Q52"/>
    </sheetView>
  </sheetViews>
  <sheetFormatPr defaultRowHeight="15" x14ac:dyDescent="0.25"/>
  <cols>
    <col min="1" max="1" width="10" customWidth="1"/>
    <col min="2" max="2" width="10.42578125" bestFit="1" customWidth="1"/>
    <col min="4" max="4" width="10.140625" bestFit="1" customWidth="1"/>
    <col min="8" max="8" width="12.42578125" bestFit="1" customWidth="1"/>
    <col min="9" max="9" width="6.85546875" customWidth="1"/>
    <col min="10" max="11" width="4.85546875" customWidth="1"/>
    <col min="12" max="12" width="10" bestFit="1" customWidth="1"/>
    <col min="13" max="13" width="6.140625" bestFit="1" customWidth="1"/>
    <col min="14" max="14" width="4.85546875" customWidth="1"/>
    <col min="19" max="19" width="2.5703125" customWidth="1"/>
    <col min="21" max="21" width="2.28515625" customWidth="1"/>
  </cols>
  <sheetData>
    <row r="1" spans="2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12</v>
      </c>
      <c r="Q1" s="1" t="s">
        <v>63</v>
      </c>
      <c r="R1" s="1" t="s">
        <v>64</v>
      </c>
      <c r="T1" s="1" t="s">
        <v>13</v>
      </c>
      <c r="V1" s="1" t="s">
        <v>24</v>
      </c>
      <c r="X1" s="1" t="s">
        <v>59</v>
      </c>
    </row>
    <row r="2" spans="2:24" x14ac:dyDescent="0.25">
      <c r="B2" s="2"/>
      <c r="D2" s="4"/>
      <c r="G2" s="3"/>
    </row>
    <row r="3" spans="2:24" x14ac:dyDescent="0.25">
      <c r="B3" s="2">
        <v>44188</v>
      </c>
      <c r="C3" t="s">
        <v>86</v>
      </c>
      <c r="D3">
        <v>66</v>
      </c>
      <c r="E3">
        <v>25</v>
      </c>
      <c r="F3" t="s">
        <v>203</v>
      </c>
      <c r="G3">
        <v>10</v>
      </c>
      <c r="H3" t="s">
        <v>176</v>
      </c>
      <c r="I3">
        <v>155</v>
      </c>
      <c r="Q3">
        <v>3</v>
      </c>
      <c r="R3">
        <v>2022</v>
      </c>
      <c r="X3" t="s">
        <v>204</v>
      </c>
    </row>
    <row r="4" spans="2:24" x14ac:dyDescent="0.25">
      <c r="B4" s="2">
        <v>44187</v>
      </c>
      <c r="C4" t="s">
        <v>184</v>
      </c>
      <c r="D4">
        <v>465</v>
      </c>
      <c r="G4">
        <v>75</v>
      </c>
      <c r="H4" t="s">
        <v>145</v>
      </c>
      <c r="I4">
        <v>170</v>
      </c>
      <c r="Q4">
        <v>4</v>
      </c>
      <c r="R4">
        <v>2022</v>
      </c>
      <c r="X4" t="s">
        <v>205</v>
      </c>
    </row>
    <row r="5" spans="2:24" x14ac:dyDescent="0.25">
      <c r="B5" s="2">
        <v>44181</v>
      </c>
      <c r="C5" t="s">
        <v>33</v>
      </c>
      <c r="D5">
        <v>298</v>
      </c>
      <c r="E5">
        <v>30</v>
      </c>
      <c r="F5" t="s">
        <v>98</v>
      </c>
      <c r="G5">
        <v>51</v>
      </c>
      <c r="H5" t="s">
        <v>27</v>
      </c>
      <c r="I5">
        <v>145</v>
      </c>
      <c r="Q5">
        <v>4</v>
      </c>
      <c r="R5">
        <v>2021</v>
      </c>
      <c r="T5" t="s">
        <v>207</v>
      </c>
      <c r="X5" t="s">
        <v>206</v>
      </c>
    </row>
    <row r="6" spans="2:24" x14ac:dyDescent="0.25">
      <c r="B6" s="2">
        <v>44167</v>
      </c>
      <c r="C6" t="s">
        <v>86</v>
      </c>
      <c r="D6">
        <v>37</v>
      </c>
      <c r="E6">
        <v>20</v>
      </c>
      <c r="F6" t="s">
        <v>209</v>
      </c>
      <c r="G6">
        <v>6</v>
      </c>
      <c r="H6" t="s">
        <v>145</v>
      </c>
      <c r="I6">
        <v>170</v>
      </c>
      <c r="J6">
        <v>6.2</v>
      </c>
      <c r="P6" t="s">
        <v>210</v>
      </c>
      <c r="Q6">
        <v>3</v>
      </c>
      <c r="R6">
        <v>2022</v>
      </c>
      <c r="X6" t="s">
        <v>208</v>
      </c>
    </row>
    <row r="7" spans="2:24" x14ac:dyDescent="0.25">
      <c r="B7" s="2">
        <v>44167</v>
      </c>
      <c r="C7" t="s">
        <v>101</v>
      </c>
      <c r="D7">
        <v>19.399999999999999</v>
      </c>
      <c r="E7">
        <v>20</v>
      </c>
      <c r="F7" t="s">
        <v>209</v>
      </c>
      <c r="G7">
        <v>9</v>
      </c>
      <c r="H7" t="s">
        <v>216</v>
      </c>
      <c r="J7">
        <v>2</v>
      </c>
      <c r="Q7">
        <v>1</v>
      </c>
      <c r="R7">
        <v>2022</v>
      </c>
      <c r="X7" t="s">
        <v>208</v>
      </c>
    </row>
    <row r="8" spans="2:24" x14ac:dyDescent="0.25">
      <c r="B8" s="2">
        <v>44159</v>
      </c>
      <c r="C8" t="s">
        <v>142</v>
      </c>
      <c r="D8">
        <v>130</v>
      </c>
      <c r="F8" t="s">
        <v>212</v>
      </c>
      <c r="G8">
        <v>26</v>
      </c>
      <c r="H8" t="s">
        <v>27</v>
      </c>
      <c r="I8">
        <v>145</v>
      </c>
      <c r="P8" t="s">
        <v>211</v>
      </c>
      <c r="Q8">
        <v>1</v>
      </c>
      <c r="R8">
        <v>2022</v>
      </c>
      <c r="X8" t="s">
        <v>215</v>
      </c>
    </row>
    <row r="9" spans="2:24" x14ac:dyDescent="0.25">
      <c r="B9" s="2">
        <v>44110</v>
      </c>
      <c r="C9" t="s">
        <v>86</v>
      </c>
      <c r="D9">
        <v>372</v>
      </c>
      <c r="E9">
        <v>15</v>
      </c>
      <c r="G9">
        <v>60</v>
      </c>
      <c r="H9" t="s">
        <v>145</v>
      </c>
      <c r="I9">
        <v>170</v>
      </c>
      <c r="J9">
        <v>6.2</v>
      </c>
      <c r="P9" t="s">
        <v>213</v>
      </c>
      <c r="R9">
        <v>2022</v>
      </c>
      <c r="X9" t="s">
        <v>214</v>
      </c>
    </row>
    <row r="10" spans="2:24" x14ac:dyDescent="0.25">
      <c r="B10" s="2">
        <v>44105</v>
      </c>
      <c r="C10" t="s">
        <v>217</v>
      </c>
      <c r="D10">
        <v>260</v>
      </c>
      <c r="G10">
        <v>130</v>
      </c>
      <c r="H10" t="s">
        <v>216</v>
      </c>
      <c r="J10">
        <v>2</v>
      </c>
      <c r="Q10">
        <v>1</v>
      </c>
      <c r="R10">
        <v>2021</v>
      </c>
      <c r="X10" t="s">
        <v>218</v>
      </c>
    </row>
    <row r="11" spans="2:24" x14ac:dyDescent="0.25">
      <c r="B11" s="2">
        <v>44104</v>
      </c>
      <c r="C11" t="s">
        <v>86</v>
      </c>
      <c r="D11">
        <v>68.400000000000006</v>
      </c>
      <c r="E11">
        <v>15</v>
      </c>
      <c r="F11" t="s">
        <v>220</v>
      </c>
      <c r="G11">
        <v>7</v>
      </c>
      <c r="H11" t="s">
        <v>145</v>
      </c>
      <c r="I11">
        <v>170</v>
      </c>
      <c r="K11">
        <v>4</v>
      </c>
      <c r="L11" t="s">
        <v>176</v>
      </c>
      <c r="M11">
        <v>155</v>
      </c>
      <c r="N11">
        <v>5.8</v>
      </c>
      <c r="R11">
        <v>2023</v>
      </c>
      <c r="X11" t="s">
        <v>221</v>
      </c>
    </row>
    <row r="12" spans="2:24" x14ac:dyDescent="0.25">
      <c r="B12" s="2">
        <v>44074</v>
      </c>
      <c r="C12" t="s">
        <v>33</v>
      </c>
      <c r="D12">
        <v>325</v>
      </c>
      <c r="G12">
        <v>65</v>
      </c>
      <c r="H12" t="s">
        <v>27</v>
      </c>
      <c r="I12">
        <v>145</v>
      </c>
      <c r="Q12">
        <v>3</v>
      </c>
      <c r="R12">
        <v>2021</v>
      </c>
      <c r="T12" t="s">
        <v>222</v>
      </c>
      <c r="X12" t="s">
        <v>223</v>
      </c>
    </row>
    <row r="13" spans="2:24" x14ac:dyDescent="0.25">
      <c r="B13" s="2">
        <v>44060</v>
      </c>
      <c r="C13" t="s">
        <v>75</v>
      </c>
      <c r="D13">
        <v>473</v>
      </c>
      <c r="G13">
        <v>215</v>
      </c>
      <c r="H13" t="s">
        <v>224</v>
      </c>
      <c r="I13">
        <v>122</v>
      </c>
      <c r="Q13">
        <v>3</v>
      </c>
      <c r="R13">
        <v>2021</v>
      </c>
      <c r="X13" t="s">
        <v>225</v>
      </c>
    </row>
    <row r="14" spans="2:24" x14ac:dyDescent="0.25">
      <c r="B14" s="2">
        <v>44036</v>
      </c>
      <c r="C14" t="s">
        <v>226</v>
      </c>
      <c r="D14">
        <v>110</v>
      </c>
      <c r="E14">
        <v>10</v>
      </c>
      <c r="G14">
        <v>22</v>
      </c>
      <c r="H14" t="s">
        <v>27</v>
      </c>
      <c r="I14">
        <v>145</v>
      </c>
      <c r="P14" t="s">
        <v>227</v>
      </c>
      <c r="Q14">
        <v>3</v>
      </c>
      <c r="R14">
        <v>2021</v>
      </c>
      <c r="X14" t="s">
        <v>228</v>
      </c>
    </row>
    <row r="15" spans="2:24" x14ac:dyDescent="0.25">
      <c r="B15" s="2">
        <v>44036</v>
      </c>
      <c r="C15" t="s">
        <v>226</v>
      </c>
      <c r="D15">
        <v>60</v>
      </c>
      <c r="E15">
        <v>12</v>
      </c>
      <c r="F15" t="s">
        <v>17</v>
      </c>
      <c r="G15">
        <v>12</v>
      </c>
      <c r="H15" t="s">
        <v>27</v>
      </c>
      <c r="I15">
        <v>145</v>
      </c>
      <c r="Q15">
        <v>1</v>
      </c>
      <c r="R15">
        <v>2021</v>
      </c>
      <c r="X15" t="s">
        <v>229</v>
      </c>
    </row>
    <row r="16" spans="2:24" x14ac:dyDescent="0.25">
      <c r="B16" s="2">
        <v>44035</v>
      </c>
      <c r="C16" t="s">
        <v>26</v>
      </c>
      <c r="D16" s="4">
        <v>78</v>
      </c>
      <c r="E16">
        <v>10</v>
      </c>
      <c r="G16">
        <v>18</v>
      </c>
      <c r="H16" t="s">
        <v>27</v>
      </c>
      <c r="I16">
        <v>145</v>
      </c>
      <c r="P16" t="s">
        <v>230</v>
      </c>
      <c r="Q16">
        <v>3</v>
      </c>
      <c r="R16">
        <v>2021</v>
      </c>
      <c r="X16" t="s">
        <v>231</v>
      </c>
    </row>
    <row r="17" spans="1:24" x14ac:dyDescent="0.25">
      <c r="B17" s="2">
        <v>44013</v>
      </c>
      <c r="C17" t="s">
        <v>217</v>
      </c>
      <c r="D17">
        <v>50</v>
      </c>
      <c r="G17">
        <v>25</v>
      </c>
      <c r="H17" t="s">
        <v>216</v>
      </c>
      <c r="J17">
        <v>2</v>
      </c>
      <c r="Q17">
        <v>1</v>
      </c>
      <c r="R17">
        <v>2021</v>
      </c>
      <c r="X17" t="s">
        <v>218</v>
      </c>
    </row>
    <row r="18" spans="1:24" x14ac:dyDescent="0.25">
      <c r="B18" s="2">
        <v>44004</v>
      </c>
      <c r="C18" t="s">
        <v>25</v>
      </c>
      <c r="D18">
        <v>52.8</v>
      </c>
      <c r="E18">
        <v>20</v>
      </c>
      <c r="G18">
        <v>12</v>
      </c>
      <c r="H18" t="s">
        <v>236</v>
      </c>
      <c r="I18">
        <v>142</v>
      </c>
      <c r="J18">
        <v>4.0999999999999996</v>
      </c>
      <c r="K18">
        <v>1</v>
      </c>
      <c r="L18" t="s">
        <v>235</v>
      </c>
      <c r="M18">
        <v>130</v>
      </c>
      <c r="N18">
        <v>3.6</v>
      </c>
      <c r="O18">
        <v>165</v>
      </c>
      <c r="P18" t="s">
        <v>234</v>
      </c>
      <c r="Q18">
        <v>4</v>
      </c>
      <c r="R18">
        <v>2020</v>
      </c>
      <c r="T18" t="s">
        <v>232</v>
      </c>
      <c r="X18" s="6" t="s">
        <v>233</v>
      </c>
    </row>
    <row r="19" spans="1:24" x14ac:dyDescent="0.25">
      <c r="B19" s="2">
        <v>43984</v>
      </c>
      <c r="C19" t="s">
        <v>19</v>
      </c>
      <c r="D19" s="4">
        <v>497</v>
      </c>
      <c r="E19">
        <v>15</v>
      </c>
      <c r="F19" t="s">
        <v>17</v>
      </c>
      <c r="G19" s="3">
        <v>71</v>
      </c>
      <c r="H19" t="s">
        <v>16</v>
      </c>
      <c r="I19">
        <v>154</v>
      </c>
      <c r="J19">
        <v>7</v>
      </c>
      <c r="P19" t="s">
        <v>30</v>
      </c>
      <c r="Q19">
        <v>4</v>
      </c>
      <c r="R19">
        <v>2021</v>
      </c>
      <c r="X19" t="s">
        <v>238</v>
      </c>
    </row>
    <row r="20" spans="1:24" x14ac:dyDescent="0.25">
      <c r="B20" s="2">
        <v>43980</v>
      </c>
      <c r="C20" t="s">
        <v>19</v>
      </c>
      <c r="D20" s="4">
        <v>496</v>
      </c>
      <c r="E20">
        <v>10</v>
      </c>
      <c r="F20" t="s">
        <v>32</v>
      </c>
      <c r="G20" s="3">
        <v>62</v>
      </c>
      <c r="H20" t="s">
        <v>28</v>
      </c>
      <c r="I20">
        <v>167</v>
      </c>
      <c r="J20">
        <v>8</v>
      </c>
      <c r="P20" t="s">
        <v>29</v>
      </c>
      <c r="R20">
        <v>2023</v>
      </c>
      <c r="X20" t="s">
        <v>237</v>
      </c>
    </row>
    <row r="21" spans="1:24" x14ac:dyDescent="0.25">
      <c r="B21" s="2">
        <v>43941</v>
      </c>
      <c r="C21" t="s">
        <v>101</v>
      </c>
      <c r="D21">
        <v>184</v>
      </c>
      <c r="G21" s="3">
        <v>63</v>
      </c>
      <c r="J21">
        <f>D21/G21</f>
        <v>2.9206349206349205</v>
      </c>
      <c r="T21" t="s">
        <v>240</v>
      </c>
      <c r="X21" t="s">
        <v>239</v>
      </c>
    </row>
    <row r="22" spans="1:24" x14ac:dyDescent="0.25">
      <c r="B22" s="2">
        <v>43936</v>
      </c>
      <c r="C22" t="s">
        <v>86</v>
      </c>
      <c r="D22">
        <v>85.8</v>
      </c>
      <c r="E22">
        <v>15</v>
      </c>
      <c r="F22" t="s">
        <v>144</v>
      </c>
      <c r="G22" s="3">
        <v>13</v>
      </c>
      <c r="H22" t="s">
        <v>176</v>
      </c>
      <c r="I22">
        <v>155</v>
      </c>
      <c r="J22">
        <f>D22/G22</f>
        <v>6.6</v>
      </c>
      <c r="P22" t="s">
        <v>242</v>
      </c>
      <c r="R22">
        <v>2021</v>
      </c>
      <c r="X22" t="s">
        <v>241</v>
      </c>
    </row>
    <row r="23" spans="1:24" x14ac:dyDescent="0.25">
      <c r="B23" s="2">
        <v>43924</v>
      </c>
      <c r="C23" t="s">
        <v>25</v>
      </c>
      <c r="D23">
        <v>342</v>
      </c>
      <c r="E23">
        <v>2</v>
      </c>
      <c r="G23" s="3">
        <v>38</v>
      </c>
      <c r="H23" t="s">
        <v>28</v>
      </c>
      <c r="I23">
        <v>167</v>
      </c>
      <c r="J23">
        <v>8</v>
      </c>
      <c r="P23" t="s">
        <v>34</v>
      </c>
      <c r="Q23">
        <v>3</v>
      </c>
      <c r="R23">
        <v>2022</v>
      </c>
      <c r="T23" t="s">
        <v>280</v>
      </c>
      <c r="X23" t="s">
        <v>243</v>
      </c>
    </row>
    <row r="24" spans="1:24" x14ac:dyDescent="0.25">
      <c r="B24" s="2">
        <v>43922</v>
      </c>
      <c r="C24" t="s">
        <v>217</v>
      </c>
      <c r="D24">
        <v>50</v>
      </c>
      <c r="G24">
        <v>25</v>
      </c>
      <c r="H24" t="s">
        <v>216</v>
      </c>
      <c r="J24">
        <v>2</v>
      </c>
      <c r="Q24">
        <v>4</v>
      </c>
      <c r="R24">
        <v>2020</v>
      </c>
      <c r="X24" t="s">
        <v>218</v>
      </c>
    </row>
    <row r="25" spans="1:24" x14ac:dyDescent="0.25">
      <c r="B25" s="2">
        <v>43922</v>
      </c>
      <c r="C25" t="s">
        <v>184</v>
      </c>
      <c r="D25">
        <v>312</v>
      </c>
      <c r="F25" t="s">
        <v>244</v>
      </c>
      <c r="G25" s="3">
        <v>52</v>
      </c>
      <c r="H25" t="s">
        <v>145</v>
      </c>
      <c r="I25">
        <v>170</v>
      </c>
      <c r="J25">
        <f>D25/G25</f>
        <v>6</v>
      </c>
      <c r="R25">
        <v>2021</v>
      </c>
      <c r="X25" t="s">
        <v>245</v>
      </c>
    </row>
    <row r="26" spans="1:24" x14ac:dyDescent="0.25">
      <c r="B26" s="2">
        <v>43916</v>
      </c>
      <c r="C26" t="s">
        <v>86</v>
      </c>
      <c r="D26">
        <v>46</v>
      </c>
      <c r="E26">
        <v>25</v>
      </c>
      <c r="F26" t="s">
        <v>246</v>
      </c>
      <c r="G26" s="3">
        <v>8</v>
      </c>
      <c r="H26" t="s">
        <v>145</v>
      </c>
      <c r="I26">
        <v>170</v>
      </c>
      <c r="J26">
        <f>D26/G26</f>
        <v>5.75</v>
      </c>
      <c r="O26">
        <v>115</v>
      </c>
      <c r="P26" t="s">
        <v>247</v>
      </c>
      <c r="Q26">
        <v>3</v>
      </c>
      <c r="R26">
        <v>2021</v>
      </c>
      <c r="X26" t="s">
        <v>248</v>
      </c>
    </row>
    <row r="27" spans="1:24" x14ac:dyDescent="0.25">
      <c r="B27" s="2">
        <v>43885</v>
      </c>
      <c r="C27" t="s">
        <v>249</v>
      </c>
      <c r="D27">
        <v>59</v>
      </c>
      <c r="F27" t="s">
        <v>251</v>
      </c>
      <c r="G27" s="3">
        <v>17</v>
      </c>
      <c r="H27" t="s">
        <v>169</v>
      </c>
      <c r="J27">
        <f>D27/G27</f>
        <v>3.4705882352941178</v>
      </c>
      <c r="Q27">
        <v>3</v>
      </c>
      <c r="R27">
        <v>2021</v>
      </c>
      <c r="X27" t="s">
        <v>250</v>
      </c>
    </row>
    <row r="28" spans="1:24" x14ac:dyDescent="0.25">
      <c r="A28" t="s">
        <v>219</v>
      </c>
      <c r="B28" s="2">
        <v>43831</v>
      </c>
      <c r="C28" t="s">
        <v>217</v>
      </c>
      <c r="D28">
        <v>50</v>
      </c>
      <c r="G28">
        <v>25</v>
      </c>
      <c r="H28" t="s">
        <v>216</v>
      </c>
      <c r="J28">
        <v>2</v>
      </c>
      <c r="Q28">
        <v>4</v>
      </c>
      <c r="R28">
        <v>2020</v>
      </c>
      <c r="X28" t="s">
        <v>218</v>
      </c>
    </row>
    <row r="30" spans="1:24" s="7" customFormat="1" x14ac:dyDescent="0.25">
      <c r="A30" s="7">
        <f>SUM(D2:D29)</f>
        <v>4986.4000000000005</v>
      </c>
    </row>
    <row r="32" spans="1:24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 spans="1:17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</row>
    <row r="34" spans="1:17" x14ac:dyDescent="0.25">
      <c r="A34" s="24"/>
      <c r="B34" s="29"/>
      <c r="C34" s="29"/>
      <c r="D34" s="29"/>
      <c r="E34" s="24"/>
      <c r="F34" s="24"/>
      <c r="G34" s="24"/>
      <c r="H34" s="29"/>
      <c r="I34" s="24"/>
      <c r="J34" s="24"/>
      <c r="K34" s="24"/>
      <c r="L34" s="24"/>
      <c r="M34" s="24"/>
      <c r="N34" s="24"/>
      <c r="O34" s="24"/>
      <c r="P34" s="24"/>
      <c r="Q34" s="24"/>
    </row>
    <row r="35" spans="1:17" x14ac:dyDescent="0.25">
      <c r="A35" s="24"/>
      <c r="B35" s="24"/>
      <c r="C35" s="24"/>
      <c r="D35" s="30"/>
      <c r="E35" s="30"/>
      <c r="F35" s="31"/>
      <c r="G35" s="24"/>
      <c r="H35" s="24"/>
      <c r="I35" s="24"/>
      <c r="J35" s="24"/>
      <c r="K35" s="24"/>
      <c r="L35" s="32"/>
      <c r="M35" s="32"/>
      <c r="N35" s="24"/>
      <c r="O35" s="24"/>
      <c r="P35" s="24"/>
      <c r="Q35" s="24"/>
    </row>
    <row r="36" spans="1:17" x14ac:dyDescent="0.25">
      <c r="A36" s="24"/>
      <c r="B36" s="24"/>
      <c r="C36" s="24"/>
      <c r="D36" s="30"/>
      <c r="E36" s="24"/>
      <c r="F36" s="24"/>
      <c r="G36" s="24"/>
      <c r="H36" s="24"/>
      <c r="I36" s="24"/>
      <c r="J36" s="24"/>
      <c r="K36" s="24"/>
      <c r="L36" s="32"/>
      <c r="M36" s="32"/>
      <c r="N36" s="24"/>
      <c r="O36" s="24"/>
      <c r="P36" s="24"/>
      <c r="Q36" s="24"/>
    </row>
    <row r="37" spans="1:17" x14ac:dyDescent="0.25">
      <c r="A37" s="24"/>
      <c r="B37" s="24"/>
      <c r="C37" s="24"/>
      <c r="D37" s="30"/>
      <c r="E37" s="24"/>
      <c r="F37" s="24"/>
      <c r="G37" s="24"/>
      <c r="H37" s="24"/>
      <c r="I37" s="24"/>
      <c r="J37" s="24"/>
      <c r="K37" s="24"/>
      <c r="L37" s="32"/>
      <c r="M37" s="32"/>
      <c r="N37" s="24"/>
      <c r="O37" s="24"/>
      <c r="P37" s="24"/>
      <c r="Q37" s="24"/>
    </row>
    <row r="38" spans="1:17" x14ac:dyDescent="0.25">
      <c r="A38" s="24"/>
      <c r="B38" s="24"/>
      <c r="C38" s="24"/>
      <c r="D38" s="30"/>
      <c r="E38" s="30"/>
      <c r="F38" s="31"/>
      <c r="G38" s="24"/>
      <c r="H38" s="24"/>
      <c r="I38" s="24"/>
      <c r="J38" s="24"/>
      <c r="K38" s="24"/>
      <c r="L38" s="32"/>
      <c r="M38" s="32"/>
      <c r="N38" s="24"/>
      <c r="O38" s="24"/>
      <c r="P38" s="24"/>
      <c r="Q38" s="24"/>
    </row>
    <row r="39" spans="1:17" x14ac:dyDescent="0.25">
      <c r="A39" s="24"/>
      <c r="B39" s="24"/>
      <c r="C39" s="24"/>
      <c r="D39" s="30"/>
      <c r="E39" s="30"/>
      <c r="F39" s="31"/>
      <c r="G39" s="24"/>
      <c r="H39" s="24"/>
      <c r="I39" s="24"/>
      <c r="J39" s="24"/>
      <c r="K39" s="24"/>
      <c r="L39" s="32"/>
      <c r="M39" s="32"/>
      <c r="N39" s="24"/>
      <c r="O39" s="24"/>
      <c r="P39" s="24"/>
      <c r="Q39" s="24"/>
    </row>
    <row r="40" spans="1:17" x14ac:dyDescent="0.25">
      <c r="A40" s="24"/>
      <c r="B40" s="24"/>
      <c r="C40" s="24"/>
      <c r="D40" s="30"/>
      <c r="E40" s="24"/>
      <c r="F40" s="24"/>
      <c r="G40" s="24"/>
      <c r="H40" s="24"/>
      <c r="I40" s="24"/>
      <c r="J40" s="24"/>
      <c r="K40" s="24"/>
      <c r="L40" s="32"/>
      <c r="M40" s="32"/>
      <c r="N40" s="24"/>
      <c r="O40" s="24"/>
      <c r="P40" s="24"/>
      <c r="Q40" s="24"/>
    </row>
    <row r="41" spans="1:17" x14ac:dyDescent="0.25">
      <c r="A41" s="24"/>
      <c r="B41" s="24"/>
      <c r="C41" s="24"/>
      <c r="D41" s="30"/>
      <c r="E41" s="24"/>
      <c r="F41" s="24"/>
      <c r="G41" s="24"/>
      <c r="H41" s="24"/>
      <c r="I41" s="24"/>
      <c r="J41" s="24"/>
      <c r="K41" s="24"/>
      <c r="L41" s="32"/>
      <c r="M41" s="32"/>
      <c r="N41" s="24"/>
      <c r="O41" s="24"/>
      <c r="P41" s="24"/>
      <c r="Q41" s="24"/>
    </row>
    <row r="42" spans="1:17" x14ac:dyDescent="0.25">
      <c r="A42" s="24"/>
      <c r="B42" s="24"/>
      <c r="C42" s="24"/>
      <c r="D42" s="30"/>
      <c r="E42" s="30"/>
      <c r="F42" s="31"/>
      <c r="G42" s="24"/>
      <c r="H42" s="24"/>
      <c r="I42" s="24"/>
      <c r="J42" s="24"/>
      <c r="K42" s="24"/>
      <c r="L42" s="32"/>
      <c r="M42" s="32"/>
      <c r="N42" s="24"/>
      <c r="O42" s="24"/>
      <c r="P42" s="24"/>
      <c r="Q42" s="24"/>
    </row>
    <row r="43" spans="1:17" x14ac:dyDescent="0.25">
      <c r="A43" s="24"/>
      <c r="B43" s="24"/>
      <c r="C43" s="24"/>
      <c r="D43" s="30"/>
      <c r="E43" s="24"/>
      <c r="F43" s="24"/>
      <c r="G43" s="24"/>
      <c r="H43" s="24"/>
      <c r="I43" s="24"/>
      <c r="J43" s="24"/>
      <c r="K43" s="24"/>
      <c r="L43" s="32"/>
      <c r="M43" s="32"/>
      <c r="N43" s="24"/>
      <c r="O43" s="24"/>
      <c r="P43" s="24"/>
      <c r="Q43" s="24"/>
    </row>
    <row r="44" spans="1:17" x14ac:dyDescent="0.25">
      <c r="A44" s="24"/>
      <c r="B44" s="24"/>
      <c r="C44" s="24"/>
      <c r="D44" s="30"/>
      <c r="E44" s="30"/>
      <c r="F44" s="31"/>
      <c r="G44" s="24"/>
      <c r="H44" s="24"/>
      <c r="I44" s="24"/>
      <c r="J44" s="24"/>
      <c r="K44" s="24"/>
      <c r="L44" s="32"/>
      <c r="M44" s="32"/>
      <c r="N44" s="24"/>
      <c r="O44" s="24"/>
      <c r="P44" s="24"/>
      <c r="Q44" s="24"/>
    </row>
    <row r="45" spans="1:17" x14ac:dyDescent="0.25">
      <c r="A45" s="24"/>
      <c r="B45" s="24"/>
      <c r="C45" s="24"/>
      <c r="D45" s="30"/>
      <c r="E45" s="24"/>
      <c r="F45" s="24"/>
      <c r="G45" s="24"/>
      <c r="H45" s="24"/>
      <c r="I45" s="24"/>
      <c r="J45" s="24"/>
      <c r="K45" s="24"/>
      <c r="L45" s="32"/>
      <c r="M45" s="32"/>
      <c r="N45" s="24"/>
      <c r="O45" s="24"/>
      <c r="P45" s="24"/>
      <c r="Q45" s="24"/>
    </row>
    <row r="46" spans="1:17" x14ac:dyDescent="0.25">
      <c r="A46" s="24"/>
      <c r="B46" s="24"/>
      <c r="C46" s="24"/>
      <c r="D46" s="30"/>
      <c r="E46" s="30"/>
      <c r="F46" s="31"/>
      <c r="G46" s="24"/>
      <c r="H46" s="24"/>
      <c r="I46" s="24"/>
      <c r="J46" s="24"/>
      <c r="K46" s="24"/>
      <c r="L46" s="32"/>
      <c r="M46" s="32"/>
      <c r="N46" s="24"/>
      <c r="O46" s="24"/>
      <c r="P46" s="24"/>
      <c r="Q46" s="24"/>
    </row>
    <row r="47" spans="1:17" x14ac:dyDescent="0.25">
      <c r="A47" s="24"/>
      <c r="B47" s="24"/>
      <c r="C47" s="24"/>
      <c r="D47" s="30"/>
      <c r="E47" s="24"/>
      <c r="F47" s="24"/>
      <c r="G47" s="24"/>
      <c r="H47" s="24"/>
      <c r="I47" s="24"/>
      <c r="J47" s="24"/>
      <c r="K47" s="24"/>
      <c r="L47" s="32"/>
      <c r="M47" s="32"/>
      <c r="N47" s="24"/>
      <c r="O47" s="24"/>
      <c r="P47" s="24"/>
      <c r="Q47" s="24"/>
    </row>
    <row r="48" spans="1:17" x14ac:dyDescent="0.25">
      <c r="A48" s="24"/>
      <c r="B48" s="24"/>
      <c r="C48" s="24"/>
      <c r="D48" s="30"/>
      <c r="E48" s="24"/>
      <c r="F48" s="24"/>
      <c r="G48" s="24"/>
      <c r="H48" s="24"/>
      <c r="I48" s="24"/>
      <c r="J48" s="24"/>
      <c r="K48" s="24"/>
      <c r="L48" s="32"/>
      <c r="M48" s="32"/>
      <c r="N48" s="24"/>
      <c r="O48" s="24"/>
      <c r="P48" s="24"/>
      <c r="Q48" s="24"/>
    </row>
    <row r="49" spans="1:17" x14ac:dyDescent="0.25">
      <c r="A49" s="24"/>
      <c r="B49" s="24"/>
      <c r="C49" s="24"/>
      <c r="D49" s="30"/>
      <c r="E49" s="24"/>
      <c r="F49" s="24"/>
      <c r="G49" s="24"/>
      <c r="H49" s="24"/>
      <c r="I49" s="24"/>
      <c r="J49" s="24"/>
      <c r="K49" s="24"/>
      <c r="L49" s="32"/>
      <c r="M49" s="32"/>
      <c r="N49" s="24"/>
      <c r="O49" s="24"/>
      <c r="P49" s="24"/>
      <c r="Q49" s="24"/>
    </row>
    <row r="50" spans="1:17" x14ac:dyDescent="0.25">
      <c r="A50" s="24"/>
      <c r="B50" s="24"/>
      <c r="C50" s="24"/>
      <c r="D50" s="30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1:17" x14ac:dyDescent="0.25">
      <c r="A51" s="24"/>
      <c r="B51" s="24"/>
      <c r="C51" s="24"/>
      <c r="D51" s="30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1:17" x14ac:dyDescent="0.25">
      <c r="A52" s="24"/>
      <c r="B52" s="24"/>
      <c r="C52" s="24"/>
      <c r="D52" s="30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</sheetData>
  <sortState xmlns:xlrd2="http://schemas.microsoft.com/office/spreadsheetml/2017/richdata2" ref="H56:H66">
    <sortCondition ref="H56:H66"/>
  </sortState>
  <hyperlinks>
    <hyperlink ref="X18" r:id="rId1" xr:uid="{F721D818-7E1A-4879-8AD6-5DC6CA40F5DE}"/>
  </hyperlinks>
  <pageMargins left="0.7" right="0.7" top="0.75" bottom="0.75" header="0.3" footer="0.3"/>
  <pageSetup paperSize="9" orientation="landscape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4786-E2CF-4F8F-BCF2-3E604847C519}">
  <dimension ref="B1:U21"/>
  <sheetViews>
    <sheetView workbookViewId="0">
      <selection activeCell="G46" sqref="G46"/>
    </sheetView>
  </sheetViews>
  <sheetFormatPr defaultRowHeight="15" x14ac:dyDescent="0.25"/>
  <sheetData>
    <row r="1" spans="2:21" x14ac:dyDescent="0.25">
      <c r="B1" s="23" t="s">
        <v>0</v>
      </c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289</v>
      </c>
      <c r="L1" s="23" t="s">
        <v>290</v>
      </c>
      <c r="M1" s="23" t="s">
        <v>291</v>
      </c>
      <c r="N1" s="23" t="s">
        <v>292</v>
      </c>
      <c r="O1" s="23" t="s">
        <v>9</v>
      </c>
      <c r="P1" s="23" t="s">
        <v>12</v>
      </c>
      <c r="Q1" s="23" t="s">
        <v>63</v>
      </c>
      <c r="R1" s="23" t="s">
        <v>64</v>
      </c>
      <c r="S1" s="23" t="s">
        <v>13</v>
      </c>
      <c r="T1" s="23" t="s">
        <v>24</v>
      </c>
      <c r="U1" s="23" t="s">
        <v>59</v>
      </c>
    </row>
    <row r="2" spans="2:21" x14ac:dyDescent="0.25">
      <c r="B2" t="s">
        <v>564</v>
      </c>
      <c r="C2" t="s">
        <v>104</v>
      </c>
      <c r="D2">
        <v>448</v>
      </c>
      <c r="H2" t="s">
        <v>28</v>
      </c>
      <c r="I2">
        <v>167</v>
      </c>
      <c r="J2">
        <v>8</v>
      </c>
      <c r="P2" t="s">
        <v>442</v>
      </c>
      <c r="R2">
        <v>2023</v>
      </c>
      <c r="S2" t="s">
        <v>443</v>
      </c>
      <c r="U2" t="s">
        <v>444</v>
      </c>
    </row>
    <row r="3" spans="2:21" x14ac:dyDescent="0.25">
      <c r="B3" t="s">
        <v>565</v>
      </c>
      <c r="C3" t="s">
        <v>10</v>
      </c>
      <c r="D3">
        <v>300</v>
      </c>
      <c r="P3" t="s">
        <v>445</v>
      </c>
      <c r="S3" t="s">
        <v>446</v>
      </c>
      <c r="U3" t="s">
        <v>447</v>
      </c>
    </row>
    <row r="4" spans="2:21" x14ac:dyDescent="0.25">
      <c r="B4" t="s">
        <v>566</v>
      </c>
      <c r="C4" t="s">
        <v>86</v>
      </c>
      <c r="D4">
        <v>254</v>
      </c>
      <c r="E4">
        <v>30</v>
      </c>
      <c r="G4">
        <v>62</v>
      </c>
      <c r="P4" t="s">
        <v>448</v>
      </c>
      <c r="R4">
        <v>2021</v>
      </c>
      <c r="S4" t="s">
        <v>449</v>
      </c>
      <c r="U4" t="s">
        <v>450</v>
      </c>
    </row>
    <row r="5" spans="2:21" x14ac:dyDescent="0.25">
      <c r="B5" t="s">
        <v>567</v>
      </c>
      <c r="C5" t="s">
        <v>226</v>
      </c>
      <c r="D5">
        <v>359</v>
      </c>
      <c r="G5">
        <v>82</v>
      </c>
      <c r="H5" t="s">
        <v>333</v>
      </c>
      <c r="I5">
        <v>145</v>
      </c>
      <c r="J5">
        <v>4.5</v>
      </c>
      <c r="S5" t="s">
        <v>451</v>
      </c>
      <c r="U5" t="s">
        <v>452</v>
      </c>
    </row>
    <row r="6" spans="2:21" x14ac:dyDescent="0.25">
      <c r="B6" t="s">
        <v>568</v>
      </c>
      <c r="C6" t="s">
        <v>264</v>
      </c>
      <c r="D6">
        <v>200</v>
      </c>
      <c r="F6" t="s">
        <v>453</v>
      </c>
      <c r="R6">
        <v>2020</v>
      </c>
      <c r="S6" t="s">
        <v>454</v>
      </c>
      <c r="U6" t="s">
        <v>455</v>
      </c>
    </row>
    <row r="7" spans="2:21" x14ac:dyDescent="0.25">
      <c r="B7" t="s">
        <v>569</v>
      </c>
      <c r="C7" t="s">
        <v>142</v>
      </c>
      <c r="D7">
        <v>95</v>
      </c>
      <c r="F7" t="s">
        <v>456</v>
      </c>
      <c r="H7" t="s">
        <v>333</v>
      </c>
      <c r="I7">
        <v>145</v>
      </c>
      <c r="J7">
        <v>4.5</v>
      </c>
      <c r="P7" t="s">
        <v>457</v>
      </c>
      <c r="S7" t="s">
        <v>458</v>
      </c>
      <c r="U7" t="s">
        <v>459</v>
      </c>
    </row>
    <row r="8" spans="2:21" x14ac:dyDescent="0.25">
      <c r="B8" t="s">
        <v>570</v>
      </c>
      <c r="C8" t="s">
        <v>184</v>
      </c>
      <c r="D8">
        <v>94</v>
      </c>
      <c r="F8" t="s">
        <v>460</v>
      </c>
      <c r="H8" t="s">
        <v>169</v>
      </c>
      <c r="I8">
        <v>132</v>
      </c>
      <c r="J8">
        <v>3.4</v>
      </c>
      <c r="R8">
        <v>2020</v>
      </c>
      <c r="S8" t="s">
        <v>461</v>
      </c>
      <c r="U8" t="s">
        <v>462</v>
      </c>
    </row>
    <row r="9" spans="2:21" x14ac:dyDescent="0.25">
      <c r="B9" t="s">
        <v>571</v>
      </c>
      <c r="C9" t="s">
        <v>26</v>
      </c>
      <c r="D9">
        <v>32</v>
      </c>
      <c r="E9">
        <v>10</v>
      </c>
      <c r="H9" t="s">
        <v>333</v>
      </c>
      <c r="I9">
        <v>145</v>
      </c>
      <c r="J9">
        <v>4.5</v>
      </c>
      <c r="P9" t="s">
        <v>463</v>
      </c>
      <c r="R9">
        <v>2020</v>
      </c>
      <c r="S9" t="s">
        <v>464</v>
      </c>
      <c r="U9" t="s">
        <v>465</v>
      </c>
    </row>
    <row r="10" spans="2:21" x14ac:dyDescent="0.25">
      <c r="B10" t="s">
        <v>572</v>
      </c>
      <c r="C10" t="s">
        <v>10</v>
      </c>
      <c r="D10">
        <v>376</v>
      </c>
      <c r="E10">
        <v>20</v>
      </c>
      <c r="H10" t="s">
        <v>466</v>
      </c>
      <c r="I10">
        <v>167</v>
      </c>
      <c r="J10">
        <v>8</v>
      </c>
      <c r="P10" t="s">
        <v>467</v>
      </c>
      <c r="S10" t="s">
        <v>468</v>
      </c>
      <c r="U10" t="s">
        <v>469</v>
      </c>
    </row>
    <row r="11" spans="2:21" x14ac:dyDescent="0.25">
      <c r="B11" t="s">
        <v>573</v>
      </c>
      <c r="C11" t="s">
        <v>10</v>
      </c>
      <c r="D11">
        <v>640</v>
      </c>
      <c r="E11">
        <v>15</v>
      </c>
      <c r="H11" t="s">
        <v>28</v>
      </c>
      <c r="I11">
        <v>167</v>
      </c>
      <c r="J11">
        <v>8</v>
      </c>
      <c r="P11" t="s">
        <v>470</v>
      </c>
      <c r="R11">
        <v>2020</v>
      </c>
      <c r="S11" t="s">
        <v>471</v>
      </c>
      <c r="U11" t="s">
        <v>472</v>
      </c>
    </row>
    <row r="12" spans="2:21" x14ac:dyDescent="0.25">
      <c r="B12" t="s">
        <v>574</v>
      </c>
      <c r="C12" t="s">
        <v>351</v>
      </c>
      <c r="D12">
        <v>1000</v>
      </c>
      <c r="H12" t="s">
        <v>333</v>
      </c>
      <c r="I12">
        <v>145</v>
      </c>
      <c r="J12">
        <v>4.5</v>
      </c>
      <c r="L12" t="s">
        <v>473</v>
      </c>
      <c r="M12">
        <v>129</v>
      </c>
      <c r="N12">
        <v>2.7</v>
      </c>
      <c r="P12" t="s">
        <v>474</v>
      </c>
      <c r="S12" t="s">
        <v>475</v>
      </c>
      <c r="U12" t="s">
        <v>476</v>
      </c>
    </row>
    <row r="13" spans="2:21" x14ac:dyDescent="0.25">
      <c r="B13" t="s">
        <v>575</v>
      </c>
      <c r="C13" t="s">
        <v>142</v>
      </c>
      <c r="D13">
        <v>194</v>
      </c>
      <c r="H13" t="s">
        <v>333</v>
      </c>
      <c r="I13">
        <v>145</v>
      </c>
      <c r="J13">
        <v>4.5</v>
      </c>
      <c r="P13" t="s">
        <v>477</v>
      </c>
      <c r="S13" t="s">
        <v>478</v>
      </c>
      <c r="U13" t="s">
        <v>479</v>
      </c>
    </row>
    <row r="14" spans="2:21" x14ac:dyDescent="0.25">
      <c r="B14" t="s">
        <v>576</v>
      </c>
      <c r="C14" t="s">
        <v>351</v>
      </c>
      <c r="D14">
        <v>487</v>
      </c>
      <c r="H14" t="s">
        <v>333</v>
      </c>
      <c r="I14">
        <v>145</v>
      </c>
      <c r="J14">
        <v>4.5</v>
      </c>
      <c r="L14" t="s">
        <v>352</v>
      </c>
      <c r="M14">
        <v>108</v>
      </c>
      <c r="N14">
        <v>2.2999999999999998</v>
      </c>
      <c r="P14" t="s">
        <v>480</v>
      </c>
      <c r="R14">
        <v>2020</v>
      </c>
      <c r="S14" t="s">
        <v>481</v>
      </c>
      <c r="U14" t="s">
        <v>482</v>
      </c>
    </row>
    <row r="15" spans="2:21" x14ac:dyDescent="0.25">
      <c r="B15" t="s">
        <v>577</v>
      </c>
      <c r="C15" t="s">
        <v>19</v>
      </c>
      <c r="D15">
        <v>1000</v>
      </c>
      <c r="H15" t="s">
        <v>483</v>
      </c>
      <c r="I15">
        <v>154</v>
      </c>
      <c r="J15">
        <v>7</v>
      </c>
      <c r="P15" t="s">
        <v>484</v>
      </c>
      <c r="S15" t="s">
        <v>485</v>
      </c>
      <c r="U15" t="s">
        <v>486</v>
      </c>
    </row>
    <row r="16" spans="2:21" x14ac:dyDescent="0.25">
      <c r="B16" t="s">
        <v>578</v>
      </c>
      <c r="C16" t="s">
        <v>351</v>
      </c>
      <c r="H16" t="s">
        <v>487</v>
      </c>
      <c r="I16">
        <v>193</v>
      </c>
      <c r="J16">
        <v>10</v>
      </c>
      <c r="L16" t="s">
        <v>28</v>
      </c>
      <c r="M16">
        <v>167</v>
      </c>
      <c r="N16">
        <v>8</v>
      </c>
      <c r="P16" t="s">
        <v>488</v>
      </c>
      <c r="S16" t="s">
        <v>489</v>
      </c>
      <c r="U16" t="s">
        <v>490</v>
      </c>
    </row>
    <row r="17" spans="2:21" x14ac:dyDescent="0.25">
      <c r="B17" t="s">
        <v>579</v>
      </c>
      <c r="C17" t="s">
        <v>184</v>
      </c>
      <c r="D17">
        <v>3100</v>
      </c>
      <c r="H17" t="s">
        <v>169</v>
      </c>
      <c r="I17">
        <v>132</v>
      </c>
      <c r="J17">
        <v>3.4</v>
      </c>
      <c r="L17" t="s">
        <v>363</v>
      </c>
      <c r="M17">
        <v>114</v>
      </c>
      <c r="N17">
        <v>2.1</v>
      </c>
      <c r="S17" t="s">
        <v>491</v>
      </c>
      <c r="U17" t="s">
        <v>492</v>
      </c>
    </row>
    <row r="18" spans="2:21" x14ac:dyDescent="0.25">
      <c r="B18" t="s">
        <v>580</v>
      </c>
      <c r="C18" t="s">
        <v>264</v>
      </c>
      <c r="D18">
        <v>21</v>
      </c>
      <c r="E18">
        <v>5</v>
      </c>
      <c r="F18" t="s">
        <v>493</v>
      </c>
      <c r="H18" t="s">
        <v>169</v>
      </c>
      <c r="I18">
        <v>132</v>
      </c>
      <c r="J18">
        <v>3.4</v>
      </c>
      <c r="P18" t="s">
        <v>494</v>
      </c>
      <c r="R18">
        <v>2019</v>
      </c>
      <c r="S18" t="s">
        <v>495</v>
      </c>
      <c r="U18" t="s">
        <v>496</v>
      </c>
    </row>
    <row r="19" spans="2:21" x14ac:dyDescent="0.25">
      <c r="B19" t="s">
        <v>581</v>
      </c>
      <c r="C19" t="s">
        <v>88</v>
      </c>
      <c r="D19">
        <v>200</v>
      </c>
      <c r="E19">
        <v>10</v>
      </c>
      <c r="G19">
        <v>63</v>
      </c>
      <c r="H19" t="s">
        <v>169</v>
      </c>
      <c r="I19">
        <v>132</v>
      </c>
      <c r="J19">
        <v>3.4</v>
      </c>
      <c r="L19" t="s">
        <v>382</v>
      </c>
      <c r="M19">
        <v>114</v>
      </c>
      <c r="N19">
        <v>2.6</v>
      </c>
      <c r="P19" t="s">
        <v>497</v>
      </c>
      <c r="S19" t="s">
        <v>498</v>
      </c>
      <c r="U19" t="s">
        <v>499</v>
      </c>
    </row>
    <row r="20" spans="2:21" x14ac:dyDescent="0.25">
      <c r="B20" t="s">
        <v>582</v>
      </c>
      <c r="C20" t="s">
        <v>75</v>
      </c>
      <c r="D20">
        <v>567</v>
      </c>
      <c r="H20" t="s">
        <v>346</v>
      </c>
      <c r="I20">
        <v>122</v>
      </c>
      <c r="J20">
        <v>2.1</v>
      </c>
      <c r="P20" t="s">
        <v>500</v>
      </c>
      <c r="Q20">
        <v>1</v>
      </c>
      <c r="R20">
        <v>2020</v>
      </c>
      <c r="S20" t="s">
        <v>501</v>
      </c>
      <c r="U20" t="s">
        <v>502</v>
      </c>
    </row>
    <row r="21" spans="2:21" x14ac:dyDescent="0.25">
      <c r="B21" t="s">
        <v>583</v>
      </c>
      <c r="C21" t="s">
        <v>184</v>
      </c>
      <c r="D21">
        <v>128</v>
      </c>
      <c r="H21" t="s">
        <v>169</v>
      </c>
      <c r="I21">
        <v>132</v>
      </c>
      <c r="J21">
        <v>3.4</v>
      </c>
      <c r="L21" t="s">
        <v>363</v>
      </c>
      <c r="M21">
        <v>114</v>
      </c>
      <c r="N21">
        <v>2.1</v>
      </c>
      <c r="P21" t="s">
        <v>503</v>
      </c>
      <c r="R21">
        <v>2020</v>
      </c>
      <c r="S21" t="s">
        <v>504</v>
      </c>
      <c r="U21" t="s">
        <v>505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CCE4-9D3F-43CC-9D75-D425FB7A8A87}">
  <dimension ref="B1:U35"/>
  <sheetViews>
    <sheetView topLeftCell="A25" workbookViewId="0">
      <selection activeCell="A39" sqref="A39:C72"/>
    </sheetView>
  </sheetViews>
  <sheetFormatPr defaultRowHeight="15" x14ac:dyDescent="0.25"/>
  <sheetData>
    <row r="1" spans="2:21" x14ac:dyDescent="0.25">
      <c r="B1" s="23" t="s">
        <v>0</v>
      </c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289</v>
      </c>
      <c r="L1" s="23" t="s">
        <v>290</v>
      </c>
      <c r="M1" s="23" t="s">
        <v>291</v>
      </c>
      <c r="N1" s="23" t="s">
        <v>292</v>
      </c>
      <c r="O1" s="23" t="s">
        <v>9</v>
      </c>
      <c r="P1" s="23" t="s">
        <v>12</v>
      </c>
      <c r="Q1" s="23" t="s">
        <v>63</v>
      </c>
      <c r="R1" s="23" t="s">
        <v>64</v>
      </c>
      <c r="S1" s="23" t="s">
        <v>13</v>
      </c>
      <c r="T1" s="23" t="s">
        <v>24</v>
      </c>
      <c r="U1" s="23" t="s">
        <v>59</v>
      </c>
    </row>
    <row r="2" spans="2:21" x14ac:dyDescent="0.25">
      <c r="B2" t="s">
        <v>530</v>
      </c>
      <c r="C2" t="s">
        <v>329</v>
      </c>
      <c r="D2">
        <v>200</v>
      </c>
      <c r="P2" t="s">
        <v>330</v>
      </c>
      <c r="R2">
        <v>2021</v>
      </c>
      <c r="S2" t="s">
        <v>331</v>
      </c>
      <c r="U2" t="s">
        <v>332</v>
      </c>
    </row>
    <row r="3" spans="2:21" x14ac:dyDescent="0.25">
      <c r="B3" t="s">
        <v>531</v>
      </c>
      <c r="C3" t="s">
        <v>322</v>
      </c>
      <c r="D3">
        <v>249</v>
      </c>
      <c r="E3">
        <v>5</v>
      </c>
      <c r="H3" t="s">
        <v>333</v>
      </c>
      <c r="I3">
        <v>145</v>
      </c>
      <c r="J3">
        <v>4.5</v>
      </c>
      <c r="S3" t="s">
        <v>334</v>
      </c>
      <c r="U3" t="s">
        <v>335</v>
      </c>
    </row>
    <row r="4" spans="2:21" x14ac:dyDescent="0.25">
      <c r="B4" t="s">
        <v>532</v>
      </c>
      <c r="C4" t="s">
        <v>88</v>
      </c>
      <c r="D4">
        <v>34.6</v>
      </c>
      <c r="H4" t="s">
        <v>169</v>
      </c>
      <c r="I4">
        <v>132</v>
      </c>
      <c r="J4">
        <v>3.4</v>
      </c>
      <c r="P4" t="s">
        <v>336</v>
      </c>
      <c r="R4">
        <v>2019</v>
      </c>
      <c r="S4" t="s">
        <v>337</v>
      </c>
      <c r="U4" t="s">
        <v>338</v>
      </c>
    </row>
    <row r="5" spans="2:21" x14ac:dyDescent="0.25">
      <c r="B5" t="s">
        <v>533</v>
      </c>
      <c r="C5" t="s">
        <v>339</v>
      </c>
      <c r="D5">
        <v>487</v>
      </c>
      <c r="E5">
        <v>17</v>
      </c>
      <c r="H5" t="s">
        <v>28</v>
      </c>
      <c r="I5">
        <v>167</v>
      </c>
      <c r="J5">
        <v>8</v>
      </c>
      <c r="L5" t="s">
        <v>79</v>
      </c>
      <c r="M5">
        <v>167</v>
      </c>
      <c r="N5">
        <v>8</v>
      </c>
      <c r="P5" t="s">
        <v>340</v>
      </c>
      <c r="R5">
        <v>2020</v>
      </c>
      <c r="S5" t="s">
        <v>341</v>
      </c>
      <c r="U5" t="s">
        <v>342</v>
      </c>
    </row>
    <row r="6" spans="2:21" x14ac:dyDescent="0.25">
      <c r="B6" t="s">
        <v>534</v>
      </c>
      <c r="C6" t="s">
        <v>86</v>
      </c>
      <c r="D6">
        <v>263</v>
      </c>
      <c r="E6">
        <v>20</v>
      </c>
      <c r="G6">
        <v>34</v>
      </c>
      <c r="P6" t="s">
        <v>343</v>
      </c>
      <c r="R6">
        <v>2019</v>
      </c>
      <c r="S6" t="s">
        <v>344</v>
      </c>
      <c r="U6" t="s">
        <v>345</v>
      </c>
    </row>
    <row r="7" spans="2:21" x14ac:dyDescent="0.25">
      <c r="B7" t="s">
        <v>535</v>
      </c>
      <c r="C7" t="s">
        <v>75</v>
      </c>
      <c r="D7">
        <v>176.8</v>
      </c>
      <c r="H7" t="s">
        <v>346</v>
      </c>
      <c r="I7">
        <v>122</v>
      </c>
      <c r="J7">
        <v>2.1</v>
      </c>
      <c r="L7" t="s">
        <v>347</v>
      </c>
      <c r="M7">
        <v>114</v>
      </c>
      <c r="N7">
        <v>2</v>
      </c>
      <c r="P7" t="s">
        <v>348</v>
      </c>
      <c r="S7" t="s">
        <v>349</v>
      </c>
      <c r="U7" t="s">
        <v>350</v>
      </c>
    </row>
    <row r="8" spans="2:21" x14ac:dyDescent="0.25">
      <c r="B8" t="s">
        <v>536</v>
      </c>
      <c r="C8" t="s">
        <v>351</v>
      </c>
      <c r="D8">
        <v>198.5</v>
      </c>
      <c r="E8">
        <v>20</v>
      </c>
      <c r="G8">
        <v>484</v>
      </c>
      <c r="H8" t="s">
        <v>169</v>
      </c>
      <c r="I8">
        <v>132</v>
      </c>
      <c r="J8">
        <v>3.4</v>
      </c>
      <c r="L8" t="s">
        <v>352</v>
      </c>
      <c r="M8">
        <v>108</v>
      </c>
      <c r="N8">
        <v>2.2999999999999998</v>
      </c>
      <c r="P8" t="s">
        <v>353</v>
      </c>
      <c r="S8" t="s">
        <v>354</v>
      </c>
      <c r="U8" t="s">
        <v>355</v>
      </c>
    </row>
    <row r="9" spans="2:21" x14ac:dyDescent="0.25">
      <c r="B9" t="s">
        <v>537</v>
      </c>
      <c r="C9" t="s">
        <v>329</v>
      </c>
      <c r="D9">
        <v>90</v>
      </c>
      <c r="G9">
        <v>26</v>
      </c>
      <c r="H9" t="s">
        <v>169</v>
      </c>
      <c r="I9">
        <v>132</v>
      </c>
      <c r="J9">
        <v>3.4</v>
      </c>
      <c r="P9" t="s">
        <v>356</v>
      </c>
      <c r="R9">
        <v>2020</v>
      </c>
      <c r="S9" t="s">
        <v>357</v>
      </c>
      <c r="U9" t="s">
        <v>358</v>
      </c>
    </row>
    <row r="10" spans="2:21" x14ac:dyDescent="0.25">
      <c r="B10" t="s">
        <v>538</v>
      </c>
      <c r="C10" t="s">
        <v>10</v>
      </c>
      <c r="D10">
        <v>120</v>
      </c>
      <c r="H10" t="s">
        <v>359</v>
      </c>
      <c r="I10">
        <v>154</v>
      </c>
      <c r="J10">
        <v>6</v>
      </c>
      <c r="L10" t="s">
        <v>28</v>
      </c>
      <c r="M10">
        <v>167</v>
      </c>
      <c r="N10">
        <v>8</v>
      </c>
      <c r="P10" t="s">
        <v>360</v>
      </c>
      <c r="R10">
        <v>2019</v>
      </c>
      <c r="S10" t="s">
        <v>361</v>
      </c>
      <c r="U10" t="s">
        <v>362</v>
      </c>
    </row>
    <row r="11" spans="2:21" x14ac:dyDescent="0.25">
      <c r="B11" t="s">
        <v>539</v>
      </c>
      <c r="C11" t="s">
        <v>88</v>
      </c>
      <c r="D11">
        <v>233</v>
      </c>
      <c r="G11">
        <v>20</v>
      </c>
      <c r="H11" t="s">
        <v>169</v>
      </c>
      <c r="I11">
        <v>132</v>
      </c>
      <c r="J11">
        <v>3.4</v>
      </c>
      <c r="L11" t="s">
        <v>363</v>
      </c>
      <c r="M11">
        <v>114</v>
      </c>
      <c r="N11">
        <v>2.1</v>
      </c>
      <c r="P11" t="s">
        <v>364</v>
      </c>
      <c r="S11" t="s">
        <v>365</v>
      </c>
      <c r="U11" t="s">
        <v>366</v>
      </c>
    </row>
    <row r="12" spans="2:21" x14ac:dyDescent="0.25">
      <c r="B12" t="s">
        <v>540</v>
      </c>
      <c r="C12" t="s">
        <v>367</v>
      </c>
      <c r="D12">
        <v>208</v>
      </c>
      <c r="G12">
        <v>70</v>
      </c>
      <c r="P12" t="s">
        <v>368</v>
      </c>
      <c r="R12">
        <v>2019</v>
      </c>
      <c r="S12" t="s">
        <v>369</v>
      </c>
      <c r="U12" t="s">
        <v>370</v>
      </c>
    </row>
    <row r="13" spans="2:21" x14ac:dyDescent="0.25">
      <c r="B13" t="s">
        <v>541</v>
      </c>
      <c r="C13" t="s">
        <v>351</v>
      </c>
      <c r="D13">
        <v>4712</v>
      </c>
      <c r="H13" t="s">
        <v>359</v>
      </c>
      <c r="I13">
        <v>154</v>
      </c>
      <c r="J13">
        <v>6</v>
      </c>
      <c r="P13" t="s">
        <v>371</v>
      </c>
      <c r="R13">
        <v>2020</v>
      </c>
      <c r="S13" t="s">
        <v>372</v>
      </c>
      <c r="U13" t="s">
        <v>373</v>
      </c>
    </row>
    <row r="14" spans="2:21" x14ac:dyDescent="0.25">
      <c r="B14" t="s">
        <v>542</v>
      </c>
      <c r="C14" t="s">
        <v>374</v>
      </c>
      <c r="D14">
        <v>380</v>
      </c>
      <c r="G14">
        <v>89</v>
      </c>
      <c r="P14" t="s">
        <v>375</v>
      </c>
      <c r="R14">
        <v>2021</v>
      </c>
      <c r="S14" t="s">
        <v>376</v>
      </c>
      <c r="U14" t="s">
        <v>377</v>
      </c>
    </row>
    <row r="15" spans="2:21" x14ac:dyDescent="0.25">
      <c r="B15" t="s">
        <v>543</v>
      </c>
      <c r="C15" t="s">
        <v>378</v>
      </c>
      <c r="D15">
        <v>250</v>
      </c>
      <c r="H15" t="s">
        <v>352</v>
      </c>
      <c r="I15">
        <v>108</v>
      </c>
      <c r="J15">
        <v>2.2999999999999998</v>
      </c>
      <c r="P15" t="s">
        <v>379</v>
      </c>
      <c r="R15">
        <v>2018</v>
      </c>
      <c r="S15" t="s">
        <v>380</v>
      </c>
      <c r="U15" t="s">
        <v>381</v>
      </c>
    </row>
    <row r="16" spans="2:21" x14ac:dyDescent="0.25">
      <c r="B16" t="s">
        <v>544</v>
      </c>
      <c r="C16" t="s">
        <v>88</v>
      </c>
      <c r="D16">
        <v>289</v>
      </c>
      <c r="E16">
        <v>10</v>
      </c>
      <c r="G16">
        <v>92</v>
      </c>
      <c r="H16" t="s">
        <v>382</v>
      </c>
      <c r="I16">
        <v>114</v>
      </c>
      <c r="J16">
        <v>2.6</v>
      </c>
      <c r="L16" t="s">
        <v>169</v>
      </c>
      <c r="M16">
        <v>132</v>
      </c>
      <c r="N16">
        <v>3.4</v>
      </c>
      <c r="P16" t="s">
        <v>383</v>
      </c>
      <c r="S16" t="s">
        <v>384</v>
      </c>
      <c r="U16" t="s">
        <v>385</v>
      </c>
    </row>
    <row r="17" spans="2:21" x14ac:dyDescent="0.25">
      <c r="B17" t="s">
        <v>545</v>
      </c>
      <c r="C17" t="s">
        <v>104</v>
      </c>
      <c r="D17">
        <v>1386</v>
      </c>
      <c r="G17">
        <v>165</v>
      </c>
      <c r="H17" t="s">
        <v>28</v>
      </c>
      <c r="I17">
        <v>167</v>
      </c>
      <c r="J17">
        <v>8</v>
      </c>
      <c r="L17" t="s">
        <v>16</v>
      </c>
      <c r="M17">
        <v>154</v>
      </c>
      <c r="N17">
        <v>7</v>
      </c>
      <c r="P17" t="s">
        <v>386</v>
      </c>
      <c r="R17">
        <v>2022</v>
      </c>
      <c r="S17" t="s">
        <v>387</v>
      </c>
      <c r="U17" t="s">
        <v>388</v>
      </c>
    </row>
    <row r="18" spans="2:21" x14ac:dyDescent="0.25">
      <c r="B18" t="s">
        <v>546</v>
      </c>
      <c r="C18" t="s">
        <v>184</v>
      </c>
      <c r="D18">
        <v>471</v>
      </c>
      <c r="G18">
        <v>136</v>
      </c>
      <c r="H18" t="s">
        <v>169</v>
      </c>
      <c r="I18">
        <v>132</v>
      </c>
      <c r="J18">
        <v>3.4</v>
      </c>
      <c r="S18" t="s">
        <v>389</v>
      </c>
      <c r="U18" t="s">
        <v>390</v>
      </c>
    </row>
    <row r="19" spans="2:21" x14ac:dyDescent="0.25">
      <c r="B19" t="s">
        <v>547</v>
      </c>
      <c r="C19" t="s">
        <v>75</v>
      </c>
      <c r="D19">
        <v>300</v>
      </c>
      <c r="E19">
        <v>10</v>
      </c>
      <c r="G19">
        <v>143</v>
      </c>
      <c r="H19" t="s">
        <v>346</v>
      </c>
      <c r="I19">
        <v>122</v>
      </c>
      <c r="J19">
        <v>2.1</v>
      </c>
      <c r="P19" t="s">
        <v>391</v>
      </c>
      <c r="R19">
        <v>2019</v>
      </c>
      <c r="S19" t="s">
        <v>392</v>
      </c>
      <c r="U19" t="s">
        <v>393</v>
      </c>
    </row>
    <row r="20" spans="2:21" x14ac:dyDescent="0.25">
      <c r="B20" t="s">
        <v>548</v>
      </c>
      <c r="C20" t="s">
        <v>351</v>
      </c>
      <c r="D20">
        <v>508</v>
      </c>
      <c r="P20" t="s">
        <v>394</v>
      </c>
      <c r="S20" t="s">
        <v>395</v>
      </c>
      <c r="U20" t="s">
        <v>396</v>
      </c>
    </row>
    <row r="21" spans="2:21" x14ac:dyDescent="0.25">
      <c r="B21" t="s">
        <v>549</v>
      </c>
      <c r="C21" t="s">
        <v>75</v>
      </c>
      <c r="D21">
        <v>140</v>
      </c>
      <c r="H21" t="s">
        <v>347</v>
      </c>
      <c r="I21">
        <v>114</v>
      </c>
      <c r="J21">
        <v>2</v>
      </c>
      <c r="R21">
        <v>2018</v>
      </c>
      <c r="S21" t="s">
        <v>397</v>
      </c>
      <c r="U21" t="s">
        <v>398</v>
      </c>
    </row>
    <row r="22" spans="2:21" x14ac:dyDescent="0.25">
      <c r="B22" t="s">
        <v>550</v>
      </c>
      <c r="C22" t="s">
        <v>351</v>
      </c>
      <c r="D22">
        <v>77</v>
      </c>
      <c r="E22">
        <v>5</v>
      </c>
      <c r="H22" t="s">
        <v>399</v>
      </c>
      <c r="I22">
        <v>120</v>
      </c>
      <c r="J22">
        <v>2.625</v>
      </c>
      <c r="L22" t="s">
        <v>352</v>
      </c>
      <c r="M22">
        <v>108</v>
      </c>
      <c r="N22">
        <v>2.2999999999999998</v>
      </c>
      <c r="P22" t="s">
        <v>400</v>
      </c>
      <c r="R22">
        <v>2018</v>
      </c>
      <c r="S22" t="s">
        <v>401</v>
      </c>
      <c r="U22" t="s">
        <v>402</v>
      </c>
    </row>
    <row r="23" spans="2:21" x14ac:dyDescent="0.25">
      <c r="B23" t="s">
        <v>551</v>
      </c>
      <c r="C23" t="s">
        <v>88</v>
      </c>
      <c r="D23">
        <v>166</v>
      </c>
      <c r="H23" t="s">
        <v>169</v>
      </c>
      <c r="I23">
        <v>132</v>
      </c>
      <c r="J23">
        <v>3.4</v>
      </c>
      <c r="R23">
        <v>2019</v>
      </c>
      <c r="S23" t="s">
        <v>403</v>
      </c>
      <c r="U23" t="s">
        <v>404</v>
      </c>
    </row>
    <row r="24" spans="2:21" x14ac:dyDescent="0.25">
      <c r="B24" t="s">
        <v>552</v>
      </c>
      <c r="C24" t="s">
        <v>405</v>
      </c>
      <c r="D24">
        <v>194</v>
      </c>
      <c r="E24">
        <v>25</v>
      </c>
      <c r="G24">
        <v>56</v>
      </c>
      <c r="H24" t="s">
        <v>169</v>
      </c>
      <c r="I24">
        <v>132</v>
      </c>
      <c r="J24">
        <v>3.4</v>
      </c>
      <c r="P24" t="s">
        <v>406</v>
      </c>
      <c r="R24">
        <v>2019</v>
      </c>
      <c r="S24" t="s">
        <v>407</v>
      </c>
      <c r="U24" t="s">
        <v>408</v>
      </c>
    </row>
    <row r="25" spans="2:21" x14ac:dyDescent="0.25">
      <c r="B25" t="s">
        <v>553</v>
      </c>
      <c r="C25" t="s">
        <v>26</v>
      </c>
      <c r="D25">
        <v>39</v>
      </c>
      <c r="G25">
        <v>12</v>
      </c>
      <c r="H25" t="s">
        <v>382</v>
      </c>
      <c r="I25">
        <v>114</v>
      </c>
      <c r="J25">
        <v>2.6</v>
      </c>
      <c r="P25" t="s">
        <v>409</v>
      </c>
      <c r="R25">
        <v>2020</v>
      </c>
      <c r="S25" t="s">
        <v>410</v>
      </c>
      <c r="U25" t="s">
        <v>411</v>
      </c>
    </row>
    <row r="26" spans="2:21" x14ac:dyDescent="0.25">
      <c r="B26" t="s">
        <v>554</v>
      </c>
      <c r="C26" t="s">
        <v>88</v>
      </c>
      <c r="D26">
        <v>18</v>
      </c>
      <c r="H26" t="s">
        <v>382</v>
      </c>
      <c r="I26">
        <v>114</v>
      </c>
      <c r="J26">
        <v>2.6</v>
      </c>
      <c r="P26" t="s">
        <v>32</v>
      </c>
      <c r="S26" t="s">
        <v>412</v>
      </c>
      <c r="U26" t="s">
        <v>413</v>
      </c>
    </row>
    <row r="27" spans="2:21" x14ac:dyDescent="0.25">
      <c r="B27" t="s">
        <v>555</v>
      </c>
      <c r="C27" t="s">
        <v>19</v>
      </c>
      <c r="D27">
        <v>104</v>
      </c>
      <c r="E27">
        <v>20</v>
      </c>
      <c r="F27" t="s">
        <v>414</v>
      </c>
      <c r="G27">
        <v>39</v>
      </c>
      <c r="H27" t="s">
        <v>415</v>
      </c>
      <c r="I27">
        <v>113</v>
      </c>
      <c r="J27">
        <v>3.2</v>
      </c>
      <c r="L27" t="s">
        <v>363</v>
      </c>
      <c r="M27">
        <v>114</v>
      </c>
      <c r="N27">
        <v>2.1</v>
      </c>
      <c r="P27" t="s">
        <v>416</v>
      </c>
      <c r="Q27">
        <v>3</v>
      </c>
      <c r="R27">
        <v>2018</v>
      </c>
      <c r="S27" t="s">
        <v>417</v>
      </c>
      <c r="U27" t="s">
        <v>418</v>
      </c>
    </row>
    <row r="28" spans="2:21" x14ac:dyDescent="0.25">
      <c r="B28" t="s">
        <v>556</v>
      </c>
      <c r="C28" t="s">
        <v>264</v>
      </c>
      <c r="G28">
        <v>5</v>
      </c>
      <c r="S28" t="s">
        <v>419</v>
      </c>
      <c r="U28" t="s">
        <v>420</v>
      </c>
    </row>
    <row r="29" spans="2:21" x14ac:dyDescent="0.25">
      <c r="B29" t="s">
        <v>557</v>
      </c>
      <c r="C29" t="s">
        <v>325</v>
      </c>
      <c r="D29">
        <v>1000</v>
      </c>
      <c r="E29">
        <v>15</v>
      </c>
      <c r="S29" t="s">
        <v>421</v>
      </c>
      <c r="U29" t="s">
        <v>422</v>
      </c>
    </row>
    <row r="30" spans="2:21" x14ac:dyDescent="0.25">
      <c r="B30" t="s">
        <v>558</v>
      </c>
      <c r="C30" t="s">
        <v>423</v>
      </c>
      <c r="D30">
        <v>36</v>
      </c>
      <c r="G30">
        <v>18</v>
      </c>
      <c r="P30" t="s">
        <v>424</v>
      </c>
      <c r="S30" t="s">
        <v>425</v>
      </c>
      <c r="U30" t="s">
        <v>426</v>
      </c>
    </row>
    <row r="31" spans="2:21" x14ac:dyDescent="0.25">
      <c r="B31" t="s">
        <v>559</v>
      </c>
      <c r="C31" t="s">
        <v>75</v>
      </c>
      <c r="D31">
        <v>326</v>
      </c>
      <c r="R31">
        <v>2018</v>
      </c>
      <c r="S31" t="s">
        <v>427</v>
      </c>
      <c r="U31" t="s">
        <v>428</v>
      </c>
    </row>
    <row r="32" spans="2:21" x14ac:dyDescent="0.25">
      <c r="B32" t="s">
        <v>560</v>
      </c>
      <c r="D32">
        <v>330</v>
      </c>
      <c r="E32">
        <v>10</v>
      </c>
      <c r="P32" t="s">
        <v>429</v>
      </c>
      <c r="R32">
        <v>2019</v>
      </c>
      <c r="S32" t="s">
        <v>430</v>
      </c>
      <c r="U32" t="s">
        <v>431</v>
      </c>
    </row>
    <row r="33" spans="2:21" x14ac:dyDescent="0.25">
      <c r="B33" t="s">
        <v>561</v>
      </c>
      <c r="C33" t="s">
        <v>264</v>
      </c>
      <c r="D33">
        <v>96</v>
      </c>
      <c r="P33" t="s">
        <v>432</v>
      </c>
      <c r="R33">
        <v>2018</v>
      </c>
      <c r="S33" t="s">
        <v>433</v>
      </c>
      <c r="U33" t="s">
        <v>434</v>
      </c>
    </row>
    <row r="34" spans="2:21" x14ac:dyDescent="0.25">
      <c r="B34" t="s">
        <v>562</v>
      </c>
      <c r="C34" t="s">
        <v>19</v>
      </c>
      <c r="D34">
        <v>500</v>
      </c>
      <c r="H34" t="s">
        <v>28</v>
      </c>
      <c r="I34">
        <v>167</v>
      </c>
      <c r="J34">
        <v>8</v>
      </c>
      <c r="L34" t="s">
        <v>16</v>
      </c>
      <c r="M34">
        <v>154</v>
      </c>
      <c r="N34">
        <v>7</v>
      </c>
      <c r="P34" t="s">
        <v>435</v>
      </c>
      <c r="S34" t="s">
        <v>436</v>
      </c>
      <c r="U34" t="s">
        <v>437</v>
      </c>
    </row>
    <row r="35" spans="2:21" x14ac:dyDescent="0.25">
      <c r="B35" t="s">
        <v>563</v>
      </c>
      <c r="C35" t="s">
        <v>438</v>
      </c>
      <c r="D35">
        <v>262</v>
      </c>
      <c r="E35">
        <v>15</v>
      </c>
      <c r="F35" t="s">
        <v>414</v>
      </c>
      <c r="P35" t="s">
        <v>439</v>
      </c>
      <c r="R35">
        <v>2026</v>
      </c>
      <c r="S35" t="s">
        <v>440</v>
      </c>
      <c r="U35" t="s">
        <v>441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B05D-93E5-4954-81A1-49B38898A4E2}">
  <dimension ref="B1:U12"/>
  <sheetViews>
    <sheetView workbookViewId="0">
      <selection activeCell="A16" sqref="A16:C26"/>
    </sheetView>
  </sheetViews>
  <sheetFormatPr defaultRowHeight="15" x14ac:dyDescent="0.25"/>
  <sheetData>
    <row r="1" spans="2:21" x14ac:dyDescent="0.25">
      <c r="B1" s="23" t="s">
        <v>0</v>
      </c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289</v>
      </c>
      <c r="L1" s="23" t="s">
        <v>290</v>
      </c>
      <c r="M1" s="23" t="s">
        <v>291</v>
      </c>
      <c r="N1" s="23" t="s">
        <v>292</v>
      </c>
      <c r="O1" s="23" t="s">
        <v>9</v>
      </c>
      <c r="P1" s="23" t="s">
        <v>12</v>
      </c>
      <c r="Q1" s="23" t="s">
        <v>63</v>
      </c>
      <c r="R1" s="23" t="s">
        <v>64</v>
      </c>
      <c r="S1" s="23" t="s">
        <v>13</v>
      </c>
      <c r="T1" s="23" t="s">
        <v>24</v>
      </c>
      <c r="U1" s="23" t="s">
        <v>59</v>
      </c>
    </row>
    <row r="2" spans="2:21" x14ac:dyDescent="0.25">
      <c r="B2" t="s">
        <v>519</v>
      </c>
      <c r="C2" t="s">
        <v>168</v>
      </c>
      <c r="D2">
        <v>59</v>
      </c>
      <c r="G2">
        <v>23</v>
      </c>
      <c r="H2" t="s">
        <v>293</v>
      </c>
      <c r="I2">
        <v>113</v>
      </c>
      <c r="J2">
        <v>3</v>
      </c>
      <c r="P2" t="s">
        <v>294</v>
      </c>
      <c r="Q2">
        <v>3</v>
      </c>
      <c r="R2">
        <v>2018</v>
      </c>
      <c r="S2" t="s">
        <v>295</v>
      </c>
      <c r="U2" t="s">
        <v>296</v>
      </c>
    </row>
    <row r="3" spans="2:21" x14ac:dyDescent="0.25">
      <c r="B3" t="s">
        <v>520</v>
      </c>
      <c r="C3" t="s">
        <v>88</v>
      </c>
      <c r="D3">
        <v>64</v>
      </c>
      <c r="G3">
        <v>22</v>
      </c>
      <c r="P3" t="s">
        <v>297</v>
      </c>
      <c r="Q3">
        <v>3</v>
      </c>
      <c r="R3">
        <v>2018</v>
      </c>
      <c r="S3" t="s">
        <v>298</v>
      </c>
      <c r="U3" t="s">
        <v>299</v>
      </c>
    </row>
    <row r="4" spans="2:21" x14ac:dyDescent="0.25">
      <c r="B4" t="s">
        <v>521</v>
      </c>
      <c r="C4" t="s">
        <v>75</v>
      </c>
      <c r="D4">
        <v>200</v>
      </c>
      <c r="P4" t="s">
        <v>300</v>
      </c>
      <c r="R4">
        <v>2019</v>
      </c>
      <c r="S4" t="s">
        <v>301</v>
      </c>
      <c r="U4" t="s">
        <v>302</v>
      </c>
    </row>
    <row r="5" spans="2:21" x14ac:dyDescent="0.25">
      <c r="B5" t="s">
        <v>522</v>
      </c>
      <c r="C5" t="s">
        <v>303</v>
      </c>
      <c r="D5">
        <v>260</v>
      </c>
      <c r="G5">
        <v>100</v>
      </c>
      <c r="R5">
        <v>2018</v>
      </c>
      <c r="S5" t="s">
        <v>304</v>
      </c>
      <c r="U5" t="s">
        <v>305</v>
      </c>
    </row>
    <row r="6" spans="2:21" x14ac:dyDescent="0.25">
      <c r="B6" t="s">
        <v>523</v>
      </c>
      <c r="C6" t="s">
        <v>264</v>
      </c>
      <c r="D6">
        <v>34</v>
      </c>
      <c r="P6" t="s">
        <v>306</v>
      </c>
      <c r="S6" t="s">
        <v>307</v>
      </c>
      <c r="U6" t="s">
        <v>308</v>
      </c>
    </row>
    <row r="7" spans="2:21" x14ac:dyDescent="0.25">
      <c r="B7" t="s">
        <v>524</v>
      </c>
      <c r="C7" t="s">
        <v>217</v>
      </c>
      <c r="D7">
        <v>50</v>
      </c>
      <c r="P7" t="s">
        <v>309</v>
      </c>
      <c r="R7">
        <v>2018</v>
      </c>
      <c r="S7" t="s">
        <v>310</v>
      </c>
      <c r="U7" t="s">
        <v>311</v>
      </c>
    </row>
    <row r="8" spans="2:21" x14ac:dyDescent="0.25">
      <c r="B8" t="s">
        <v>525</v>
      </c>
      <c r="C8" t="s">
        <v>75</v>
      </c>
      <c r="D8">
        <v>28.8</v>
      </c>
      <c r="P8" t="s">
        <v>312</v>
      </c>
      <c r="S8" t="s">
        <v>313</v>
      </c>
      <c r="U8" t="s">
        <v>314</v>
      </c>
    </row>
    <row r="9" spans="2:21" x14ac:dyDescent="0.25">
      <c r="B9" t="s">
        <v>526</v>
      </c>
      <c r="C9" t="s">
        <v>315</v>
      </c>
      <c r="D9">
        <v>97</v>
      </c>
      <c r="P9" t="s">
        <v>316</v>
      </c>
      <c r="Q9">
        <v>2</v>
      </c>
      <c r="R9">
        <v>2018</v>
      </c>
      <c r="S9" t="s">
        <v>317</v>
      </c>
      <c r="U9" t="s">
        <v>318</v>
      </c>
    </row>
    <row r="10" spans="2:21" x14ac:dyDescent="0.25">
      <c r="B10" t="s">
        <v>527</v>
      </c>
      <c r="C10" t="s">
        <v>264</v>
      </c>
      <c r="D10">
        <v>300</v>
      </c>
      <c r="P10" t="s">
        <v>319</v>
      </c>
      <c r="Q10">
        <v>2</v>
      </c>
      <c r="R10">
        <v>2018</v>
      </c>
      <c r="S10" t="s">
        <v>320</v>
      </c>
      <c r="U10" t="s">
        <v>321</v>
      </c>
    </row>
    <row r="11" spans="2:21" x14ac:dyDescent="0.25">
      <c r="B11" t="s">
        <v>528</v>
      </c>
      <c r="C11" t="s">
        <v>322</v>
      </c>
      <c r="D11">
        <v>76</v>
      </c>
      <c r="G11">
        <v>36</v>
      </c>
      <c r="R11">
        <v>2018</v>
      </c>
      <c r="S11" t="s">
        <v>323</v>
      </c>
      <c r="U11" t="s">
        <v>324</v>
      </c>
    </row>
    <row r="12" spans="2:21" x14ac:dyDescent="0.25">
      <c r="B12" t="s">
        <v>529</v>
      </c>
      <c r="C12" t="s">
        <v>325</v>
      </c>
      <c r="D12">
        <v>118</v>
      </c>
      <c r="G12">
        <v>36</v>
      </c>
      <c r="P12" t="s">
        <v>326</v>
      </c>
      <c r="Q12">
        <v>2</v>
      </c>
      <c r="R12">
        <v>2018</v>
      </c>
      <c r="S12" t="s">
        <v>327</v>
      </c>
      <c r="U12" t="s">
        <v>328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91BD-C5D4-41D1-B259-D107731B8821}">
  <dimension ref="C1:M15"/>
  <sheetViews>
    <sheetView workbookViewId="0">
      <selection activeCell="C1" sqref="C1"/>
    </sheetView>
  </sheetViews>
  <sheetFormatPr defaultRowHeight="15" x14ac:dyDescent="0.25"/>
  <cols>
    <col min="3" max="3" width="17.85546875" bestFit="1" customWidth="1"/>
  </cols>
  <sheetData>
    <row r="1" spans="3:13" x14ac:dyDescent="0.25">
      <c r="C1" s="1" t="s">
        <v>270</v>
      </c>
    </row>
    <row r="2" spans="3:13" x14ac:dyDescent="0.25">
      <c r="C2" t="s">
        <v>266</v>
      </c>
      <c r="E2" t="s">
        <v>268</v>
      </c>
    </row>
    <row r="3" spans="3:13" x14ac:dyDescent="0.25">
      <c r="C3" t="s">
        <v>265</v>
      </c>
    </row>
    <row r="5" spans="3:13" x14ac:dyDescent="0.25">
      <c r="E5" t="s">
        <v>262</v>
      </c>
      <c r="F5" t="s">
        <v>262</v>
      </c>
      <c r="G5" t="s">
        <v>262</v>
      </c>
      <c r="H5" t="s">
        <v>262</v>
      </c>
      <c r="I5" t="s">
        <v>262</v>
      </c>
      <c r="J5" t="s">
        <v>262</v>
      </c>
      <c r="K5" t="s">
        <v>262</v>
      </c>
      <c r="L5" t="s">
        <v>262</v>
      </c>
      <c r="M5" t="s">
        <v>262</v>
      </c>
    </row>
    <row r="6" spans="3:13" x14ac:dyDescent="0.25">
      <c r="D6" s="1">
        <v>2021</v>
      </c>
      <c r="E6" s="1">
        <v>2022</v>
      </c>
      <c r="F6" s="1">
        <v>2023</v>
      </c>
      <c r="G6" s="1">
        <v>2024</v>
      </c>
      <c r="H6" s="1">
        <v>2025</v>
      </c>
      <c r="I6" s="1">
        <v>2026</v>
      </c>
      <c r="J6" s="1">
        <v>2027</v>
      </c>
      <c r="K6" s="1">
        <v>2028</v>
      </c>
      <c r="L6" s="1">
        <v>2029</v>
      </c>
      <c r="M6" s="1">
        <v>2030</v>
      </c>
    </row>
    <row r="7" spans="3:13" x14ac:dyDescent="0.25">
      <c r="C7" s="1" t="s">
        <v>267</v>
      </c>
      <c r="D7">
        <f>SUM(D8:D10)</f>
        <v>94</v>
      </c>
      <c r="E7">
        <f t="shared" ref="E7:M7" si="0">SUM(E8:E10)</f>
        <v>95</v>
      </c>
      <c r="F7">
        <f t="shared" si="0"/>
        <v>112</v>
      </c>
      <c r="G7">
        <f t="shared" si="0"/>
        <v>121</v>
      </c>
      <c r="H7">
        <f t="shared" si="0"/>
        <v>139</v>
      </c>
      <c r="I7">
        <f t="shared" si="0"/>
        <v>134</v>
      </c>
      <c r="J7">
        <f t="shared" si="0"/>
        <v>141</v>
      </c>
      <c r="K7">
        <f t="shared" si="0"/>
        <v>146</v>
      </c>
      <c r="L7">
        <f t="shared" si="0"/>
        <v>161</v>
      </c>
      <c r="M7">
        <f t="shared" si="0"/>
        <v>168</v>
      </c>
    </row>
    <row r="8" spans="3:13" x14ac:dyDescent="0.25">
      <c r="C8" s="1" t="s">
        <v>263</v>
      </c>
      <c r="D8">
        <v>33</v>
      </c>
      <c r="E8">
        <v>34</v>
      </c>
      <c r="F8">
        <v>43</v>
      </c>
      <c r="G8">
        <v>44</v>
      </c>
      <c r="H8">
        <v>54</v>
      </c>
      <c r="I8">
        <v>50</v>
      </c>
      <c r="J8">
        <v>57</v>
      </c>
      <c r="K8">
        <v>62</v>
      </c>
      <c r="L8">
        <v>72</v>
      </c>
      <c r="M8">
        <v>78</v>
      </c>
    </row>
    <row r="9" spans="3:13" x14ac:dyDescent="0.25">
      <c r="C9" s="1" t="s">
        <v>197</v>
      </c>
      <c r="D9">
        <v>13</v>
      </c>
      <c r="E9">
        <v>13</v>
      </c>
      <c r="F9">
        <v>10</v>
      </c>
      <c r="G9">
        <v>10</v>
      </c>
      <c r="H9">
        <v>13</v>
      </c>
      <c r="I9">
        <v>16</v>
      </c>
      <c r="J9">
        <v>16</v>
      </c>
      <c r="K9">
        <v>17</v>
      </c>
      <c r="L9">
        <v>19</v>
      </c>
      <c r="M9">
        <v>18</v>
      </c>
    </row>
    <row r="10" spans="3:13" x14ac:dyDescent="0.25">
      <c r="C10" s="1" t="s">
        <v>264</v>
      </c>
      <c r="D10">
        <v>48</v>
      </c>
      <c r="E10">
        <v>48</v>
      </c>
      <c r="F10">
        <v>59</v>
      </c>
      <c r="G10">
        <v>67</v>
      </c>
      <c r="H10">
        <v>72</v>
      </c>
      <c r="I10">
        <v>68</v>
      </c>
      <c r="J10">
        <v>68</v>
      </c>
      <c r="K10">
        <v>67</v>
      </c>
      <c r="L10">
        <v>70</v>
      </c>
      <c r="M10">
        <v>72</v>
      </c>
    </row>
    <row r="13" spans="3:13" x14ac:dyDescent="0.25">
      <c r="C13" s="1" t="s">
        <v>58</v>
      </c>
    </row>
    <row r="14" spans="3:13" x14ac:dyDescent="0.25">
      <c r="C14" s="1" t="s">
        <v>269</v>
      </c>
      <c r="E14" s="18">
        <f>0.1*E8</f>
        <v>3.4000000000000004</v>
      </c>
      <c r="F14" s="18">
        <f>0.15*F8</f>
        <v>6.45</v>
      </c>
      <c r="G14" s="18">
        <f>0.2*G8</f>
        <v>8.8000000000000007</v>
      </c>
      <c r="H14" s="18">
        <f>0.25*H8</f>
        <v>13.5</v>
      </c>
      <c r="I14" s="18">
        <f t="shared" ref="I14" si="1">0.3*I8</f>
        <v>15</v>
      </c>
      <c r="J14" s="18">
        <f>0.35*J8</f>
        <v>19.95</v>
      </c>
      <c r="K14" s="18">
        <f>0.39*K8</f>
        <v>24.18</v>
      </c>
      <c r="L14" s="18">
        <f>0.42*L8</f>
        <v>30.24</v>
      </c>
      <c r="M14" s="18">
        <f>0.45*M8</f>
        <v>35.1</v>
      </c>
    </row>
    <row r="15" spans="3:13" x14ac:dyDescent="0.25">
      <c r="C15" s="1" t="s">
        <v>264</v>
      </c>
      <c r="E15" s="18">
        <f>0.16*E10</f>
        <v>7.68</v>
      </c>
      <c r="F15" s="18">
        <f>0.17*F10</f>
        <v>10.030000000000001</v>
      </c>
      <c r="G15" s="18">
        <f>0.18*G10</f>
        <v>12.059999999999999</v>
      </c>
      <c r="H15" s="18">
        <f>0.2*H10</f>
        <v>14.4</v>
      </c>
      <c r="I15" s="18">
        <f>0.22*I10</f>
        <v>14.96</v>
      </c>
      <c r="J15" s="18">
        <f>0.23*J10</f>
        <v>15.64</v>
      </c>
      <c r="K15" s="18">
        <f>0.24*K10</f>
        <v>16.079999999999998</v>
      </c>
      <c r="L15" s="18">
        <f>0.26*L10</f>
        <v>18.2</v>
      </c>
      <c r="M15" s="18">
        <f>0.27*M10</f>
        <v>19.440000000000001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F10"/>
  <sheetViews>
    <sheetView workbookViewId="0">
      <selection activeCell="H38" sqref="H38"/>
    </sheetView>
  </sheetViews>
  <sheetFormatPr defaultRowHeight="15" x14ac:dyDescent="0.25"/>
  <sheetData>
    <row r="4" spans="3:6" x14ac:dyDescent="0.25">
      <c r="C4" s="11" t="s">
        <v>195</v>
      </c>
      <c r="D4" s="12">
        <v>2022</v>
      </c>
      <c r="E4" s="12">
        <v>2021</v>
      </c>
      <c r="F4" s="13">
        <v>2020</v>
      </c>
    </row>
    <row r="5" spans="3:6" x14ac:dyDescent="0.25">
      <c r="C5" s="21" t="s">
        <v>199</v>
      </c>
      <c r="D5" s="14"/>
      <c r="E5" s="14">
        <f>'2021'!G36</f>
        <v>0</v>
      </c>
      <c r="F5" s="16">
        <f>'2020'!F35</f>
        <v>0</v>
      </c>
    </row>
    <row r="6" spans="3:6" x14ac:dyDescent="0.25">
      <c r="C6" s="21" t="s">
        <v>200</v>
      </c>
      <c r="D6" s="14">
        <f>'2022'!G33</f>
        <v>0</v>
      </c>
      <c r="E6" s="14">
        <f>'2021'!G39</f>
        <v>0</v>
      </c>
      <c r="F6" s="16">
        <f>'2020'!F38</f>
        <v>0</v>
      </c>
    </row>
    <row r="7" spans="3:6" x14ac:dyDescent="0.25">
      <c r="C7" s="21" t="s">
        <v>201</v>
      </c>
      <c r="D7" s="14"/>
      <c r="E7" s="14">
        <f>'2021'!G40</f>
        <v>0</v>
      </c>
      <c r="F7" s="16"/>
    </row>
    <row r="8" spans="3:6" x14ac:dyDescent="0.25">
      <c r="C8" s="21" t="s">
        <v>198</v>
      </c>
      <c r="D8" s="14">
        <f>'2022'!G41</f>
        <v>0</v>
      </c>
      <c r="E8" s="14">
        <f>'2021'!G49</f>
        <v>0</v>
      </c>
      <c r="F8" s="16">
        <f>'2020'!F42</f>
        <v>0</v>
      </c>
    </row>
    <row r="9" spans="3:6" x14ac:dyDescent="0.25">
      <c r="C9" s="21" t="s">
        <v>197</v>
      </c>
      <c r="D9" s="14"/>
      <c r="E9" s="14">
        <f>'2021'!G51</f>
        <v>0</v>
      </c>
      <c r="F9" s="16">
        <f>'2020'!F44</f>
        <v>0</v>
      </c>
    </row>
    <row r="10" spans="3:6" x14ac:dyDescent="0.25">
      <c r="C10" s="22" t="s">
        <v>202</v>
      </c>
      <c r="D10" s="15"/>
      <c r="E10" s="15">
        <f>'2021'!G53</f>
        <v>0</v>
      </c>
      <c r="F10" s="17">
        <f>'2020'!F46</f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FB178-5E3A-496C-B9B8-F416FBA0C05E}">
  <dimension ref="A1:X30"/>
  <sheetViews>
    <sheetView workbookViewId="0">
      <selection activeCell="D22" sqref="D22"/>
    </sheetView>
  </sheetViews>
  <sheetFormatPr defaultRowHeight="15" x14ac:dyDescent="0.25"/>
  <cols>
    <col min="2" max="2" width="10.42578125" bestFit="1" customWidth="1"/>
    <col min="4" max="4" width="10.140625" bestFit="1" customWidth="1"/>
  </cols>
  <sheetData>
    <row r="1" spans="1:24" x14ac:dyDescent="0.25">
      <c r="B1" s="1" t="s">
        <v>252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12</v>
      </c>
      <c r="Q1" s="1" t="s">
        <v>63</v>
      </c>
      <c r="R1" s="1" t="s">
        <v>64</v>
      </c>
      <c r="T1" s="1" t="s">
        <v>13</v>
      </c>
      <c r="V1" s="1" t="s">
        <v>24</v>
      </c>
      <c r="X1" s="1" t="s">
        <v>59</v>
      </c>
    </row>
    <row r="2" spans="1:24" x14ac:dyDescent="0.25">
      <c r="B2" s="2">
        <v>44785</v>
      </c>
      <c r="C2" t="s">
        <v>75</v>
      </c>
      <c r="D2">
        <v>345.6</v>
      </c>
      <c r="F2" t="s">
        <v>74</v>
      </c>
      <c r="G2" s="3">
        <v>96</v>
      </c>
      <c r="H2" t="s">
        <v>73</v>
      </c>
      <c r="I2">
        <v>145</v>
      </c>
      <c r="J2">
        <v>3.6</v>
      </c>
      <c r="Q2">
        <v>2</v>
      </c>
      <c r="R2">
        <v>2023</v>
      </c>
      <c r="X2" t="s">
        <v>76</v>
      </c>
    </row>
    <row r="3" spans="1:24" x14ac:dyDescent="0.25">
      <c r="B3" s="2">
        <v>44771</v>
      </c>
      <c r="C3" t="s">
        <v>78</v>
      </c>
      <c r="D3" s="4">
        <v>113</v>
      </c>
      <c r="E3">
        <v>15</v>
      </c>
      <c r="G3" s="3">
        <v>14</v>
      </c>
      <c r="H3" t="s">
        <v>79</v>
      </c>
      <c r="I3">
        <v>167</v>
      </c>
      <c r="J3">
        <v>8</v>
      </c>
      <c r="P3" t="s">
        <v>81</v>
      </c>
      <c r="Q3">
        <v>3</v>
      </c>
      <c r="R3">
        <v>2023</v>
      </c>
      <c r="X3" t="s">
        <v>80</v>
      </c>
    </row>
    <row r="4" spans="1:24" x14ac:dyDescent="0.25">
      <c r="B4" s="2">
        <v>44722</v>
      </c>
      <c r="C4" t="s">
        <v>75</v>
      </c>
      <c r="D4" s="5">
        <v>133</v>
      </c>
      <c r="G4" s="3">
        <v>37</v>
      </c>
      <c r="H4" t="s">
        <v>73</v>
      </c>
      <c r="I4">
        <v>145</v>
      </c>
      <c r="J4">
        <v>3.6</v>
      </c>
      <c r="R4">
        <v>2023</v>
      </c>
      <c r="X4" t="s">
        <v>108</v>
      </c>
    </row>
    <row r="5" spans="1:24" x14ac:dyDescent="0.25">
      <c r="B5" s="2">
        <v>44711</v>
      </c>
      <c r="C5" t="s">
        <v>88</v>
      </c>
      <c r="D5" s="5">
        <v>110</v>
      </c>
      <c r="E5">
        <v>25</v>
      </c>
      <c r="F5" t="s">
        <v>109</v>
      </c>
      <c r="G5" s="3">
        <v>22</v>
      </c>
      <c r="H5" t="s">
        <v>27</v>
      </c>
      <c r="I5">
        <v>145</v>
      </c>
      <c r="J5">
        <v>5</v>
      </c>
      <c r="Q5">
        <v>4</v>
      </c>
      <c r="R5">
        <v>2023</v>
      </c>
      <c r="X5" t="s">
        <v>110</v>
      </c>
    </row>
    <row r="6" spans="1:24" x14ac:dyDescent="0.25">
      <c r="B6" s="2">
        <v>44579</v>
      </c>
      <c r="C6" t="s">
        <v>88</v>
      </c>
      <c r="D6" s="4">
        <v>64</v>
      </c>
      <c r="E6">
        <v>5</v>
      </c>
      <c r="F6" t="s">
        <v>32</v>
      </c>
      <c r="G6" s="3">
        <v>14</v>
      </c>
      <c r="H6" t="s">
        <v>61</v>
      </c>
      <c r="I6">
        <v>170</v>
      </c>
      <c r="J6">
        <v>6.6</v>
      </c>
      <c r="K6">
        <v>2</v>
      </c>
      <c r="L6" t="s">
        <v>27</v>
      </c>
      <c r="R6">
        <v>2023</v>
      </c>
      <c r="X6" t="s">
        <v>117</v>
      </c>
    </row>
    <row r="7" spans="1:24" x14ac:dyDescent="0.25">
      <c r="B7" s="2">
        <v>44560</v>
      </c>
      <c r="C7" t="s">
        <v>86</v>
      </c>
      <c r="D7" s="5">
        <v>260</v>
      </c>
      <c r="E7">
        <v>25</v>
      </c>
      <c r="F7" t="s">
        <v>123</v>
      </c>
      <c r="G7" s="3">
        <v>42</v>
      </c>
      <c r="H7" t="s">
        <v>61</v>
      </c>
      <c r="I7">
        <v>170</v>
      </c>
      <c r="J7">
        <v>6.6</v>
      </c>
      <c r="O7" t="s">
        <v>124</v>
      </c>
      <c r="P7" t="s">
        <v>122</v>
      </c>
      <c r="R7">
        <v>2023</v>
      </c>
      <c r="X7" s="6" t="s">
        <v>125</v>
      </c>
    </row>
    <row r="8" spans="1:24" x14ac:dyDescent="0.25">
      <c r="B8" s="2">
        <v>44557</v>
      </c>
      <c r="C8" t="s">
        <v>75</v>
      </c>
      <c r="D8" s="5">
        <v>302</v>
      </c>
      <c r="F8" t="s">
        <v>126</v>
      </c>
      <c r="G8" s="3">
        <v>84</v>
      </c>
      <c r="H8" t="s">
        <v>73</v>
      </c>
      <c r="I8">
        <v>145</v>
      </c>
      <c r="J8">
        <v>3.6</v>
      </c>
      <c r="R8">
        <v>2023</v>
      </c>
      <c r="X8" s="6" t="s">
        <v>131</v>
      </c>
    </row>
    <row r="9" spans="1:24" x14ac:dyDescent="0.25">
      <c r="B9" s="2">
        <v>44545</v>
      </c>
      <c r="C9" t="s">
        <v>133</v>
      </c>
      <c r="D9" s="4">
        <v>344</v>
      </c>
      <c r="E9">
        <v>3</v>
      </c>
      <c r="F9" t="s">
        <v>135</v>
      </c>
      <c r="G9" s="3">
        <v>41</v>
      </c>
      <c r="H9" t="s">
        <v>28</v>
      </c>
      <c r="I9">
        <v>167</v>
      </c>
      <c r="J9">
        <v>8</v>
      </c>
      <c r="P9" t="s">
        <v>134</v>
      </c>
      <c r="R9">
        <v>2023</v>
      </c>
      <c r="X9" t="s">
        <v>136</v>
      </c>
    </row>
    <row r="10" spans="1:24" x14ac:dyDescent="0.25">
      <c r="B10" s="2">
        <v>44299</v>
      </c>
      <c r="C10" t="s">
        <v>157</v>
      </c>
      <c r="D10" s="5">
        <v>260</v>
      </c>
      <c r="G10" s="3">
        <v>50</v>
      </c>
      <c r="H10" t="s">
        <v>27</v>
      </c>
      <c r="I10">
        <v>145</v>
      </c>
      <c r="J10">
        <f>D10/G10</f>
        <v>5.2</v>
      </c>
      <c r="Q10">
        <v>1</v>
      </c>
      <c r="R10">
        <v>2023</v>
      </c>
      <c r="X10" t="s">
        <v>159</v>
      </c>
    </row>
    <row r="11" spans="1:24" x14ac:dyDescent="0.25">
      <c r="B11" s="2">
        <v>44286</v>
      </c>
      <c r="C11" t="s">
        <v>104</v>
      </c>
      <c r="D11" s="4">
        <v>1400</v>
      </c>
      <c r="F11" t="s">
        <v>14</v>
      </c>
      <c r="G11" s="3">
        <v>100</v>
      </c>
      <c r="H11" t="s">
        <v>11</v>
      </c>
      <c r="I11">
        <v>222</v>
      </c>
      <c r="J11">
        <v>14</v>
      </c>
      <c r="P11" t="s">
        <v>15</v>
      </c>
      <c r="R11">
        <v>2023</v>
      </c>
      <c r="T11" t="s">
        <v>161</v>
      </c>
      <c r="X11" t="s">
        <v>160</v>
      </c>
    </row>
    <row r="12" spans="1:24" x14ac:dyDescent="0.25">
      <c r="B12" s="2">
        <v>44200</v>
      </c>
      <c r="C12" t="s">
        <v>192</v>
      </c>
      <c r="D12" s="5">
        <v>100</v>
      </c>
      <c r="F12" t="s">
        <v>193</v>
      </c>
      <c r="G12" s="3">
        <v>29</v>
      </c>
      <c r="H12" t="s">
        <v>169</v>
      </c>
      <c r="I12">
        <v>132</v>
      </c>
      <c r="J12">
        <v>3.4</v>
      </c>
      <c r="Q12">
        <v>2</v>
      </c>
      <c r="R12">
        <v>2023</v>
      </c>
      <c r="X12" t="s">
        <v>194</v>
      </c>
    </row>
    <row r="13" spans="1:24" x14ac:dyDescent="0.25">
      <c r="B13" s="2">
        <v>44104</v>
      </c>
      <c r="C13" t="s">
        <v>86</v>
      </c>
      <c r="D13">
        <v>68.400000000000006</v>
      </c>
      <c r="E13">
        <v>15</v>
      </c>
      <c r="F13" t="s">
        <v>220</v>
      </c>
      <c r="G13">
        <v>7</v>
      </c>
      <c r="H13" t="s">
        <v>145</v>
      </c>
      <c r="I13">
        <v>170</v>
      </c>
      <c r="J13">
        <v>5.8</v>
      </c>
      <c r="K13">
        <v>4</v>
      </c>
      <c r="L13" t="s">
        <v>176</v>
      </c>
      <c r="M13">
        <v>155</v>
      </c>
      <c r="N13">
        <v>5.8</v>
      </c>
      <c r="R13">
        <v>2023</v>
      </c>
      <c r="X13" t="s">
        <v>221</v>
      </c>
    </row>
    <row r="14" spans="1:24" x14ac:dyDescent="0.25">
      <c r="B14" s="2">
        <v>43980</v>
      </c>
      <c r="C14" t="s">
        <v>19</v>
      </c>
      <c r="D14" s="4">
        <v>496</v>
      </c>
      <c r="E14">
        <v>10</v>
      </c>
      <c r="F14" t="s">
        <v>32</v>
      </c>
      <c r="G14" s="3">
        <v>62</v>
      </c>
      <c r="H14" t="s">
        <v>28</v>
      </c>
      <c r="I14">
        <v>167</v>
      </c>
      <c r="J14">
        <v>8</v>
      </c>
      <c r="P14" t="s">
        <v>29</v>
      </c>
      <c r="R14">
        <v>2023</v>
      </c>
      <c r="X14" t="s">
        <v>237</v>
      </c>
    </row>
    <row r="15" spans="1:24" x14ac:dyDescent="0.25">
      <c r="A15">
        <f>SUM(D2:D14)</f>
        <v>3996</v>
      </c>
    </row>
    <row r="21" spans="2:6" x14ac:dyDescent="0.25">
      <c r="B21" s="11" t="s">
        <v>195</v>
      </c>
      <c r="C21" s="12" t="s">
        <v>1</v>
      </c>
      <c r="D21" s="13" t="s">
        <v>2</v>
      </c>
    </row>
    <row r="22" spans="2:6" x14ac:dyDescent="0.25">
      <c r="B22" s="9" t="s">
        <v>199</v>
      </c>
      <c r="C22" t="s">
        <v>192</v>
      </c>
      <c r="D22" s="19">
        <f t="shared" ref="D22:D30" si="0">SUMIF(C$2:C$21,C22,D$2:D$21)</f>
        <v>100</v>
      </c>
    </row>
    <row r="23" spans="2:6" x14ac:dyDescent="0.25">
      <c r="B23" s="9" t="s">
        <v>200</v>
      </c>
      <c r="C23" t="s">
        <v>75</v>
      </c>
      <c r="D23" s="19">
        <f t="shared" si="0"/>
        <v>780.6</v>
      </c>
    </row>
    <row r="24" spans="2:6" x14ac:dyDescent="0.25">
      <c r="B24" s="9" t="s">
        <v>200</v>
      </c>
      <c r="C24" t="s">
        <v>78</v>
      </c>
      <c r="D24" s="19">
        <f t="shared" si="0"/>
        <v>113</v>
      </c>
    </row>
    <row r="25" spans="2:6" x14ac:dyDescent="0.25">
      <c r="B25" s="9" t="s">
        <v>198</v>
      </c>
      <c r="C25" t="s">
        <v>133</v>
      </c>
      <c r="D25" s="19">
        <f t="shared" si="0"/>
        <v>344</v>
      </c>
      <c r="F25">
        <f>SQRT(D25)/8</f>
        <v>2.318404623873926</v>
      </c>
    </row>
    <row r="26" spans="2:6" x14ac:dyDescent="0.25">
      <c r="B26" s="9" t="s">
        <v>198</v>
      </c>
      <c r="C26" t="s">
        <v>19</v>
      </c>
      <c r="D26" s="19">
        <f t="shared" si="0"/>
        <v>496</v>
      </c>
      <c r="F26">
        <f t="shared" ref="F26:F29" si="1">SQRT(D26)/8</f>
        <v>2.7838821814150108</v>
      </c>
    </row>
    <row r="27" spans="2:6" x14ac:dyDescent="0.25">
      <c r="B27" s="9" t="s">
        <v>198</v>
      </c>
      <c r="C27" t="s">
        <v>88</v>
      </c>
      <c r="D27" s="19">
        <f t="shared" si="0"/>
        <v>174</v>
      </c>
      <c r="F27">
        <f t="shared" si="1"/>
        <v>1.6488632447841149</v>
      </c>
    </row>
    <row r="28" spans="2:6" x14ac:dyDescent="0.25">
      <c r="B28" s="9" t="s">
        <v>198</v>
      </c>
      <c r="C28" t="s">
        <v>86</v>
      </c>
      <c r="D28" s="19">
        <f t="shared" si="0"/>
        <v>328.4</v>
      </c>
      <c r="F28">
        <f t="shared" si="1"/>
        <v>2.265226258014859</v>
      </c>
    </row>
    <row r="29" spans="2:6" x14ac:dyDescent="0.25">
      <c r="B29" s="9" t="s">
        <v>198</v>
      </c>
      <c r="C29" t="s">
        <v>104</v>
      </c>
      <c r="D29" s="19">
        <f t="shared" si="0"/>
        <v>1400</v>
      </c>
      <c r="F29">
        <f t="shared" si="1"/>
        <v>4.677071733467427</v>
      </c>
    </row>
    <row r="30" spans="2:6" x14ac:dyDescent="0.25">
      <c r="B30" s="10" t="s">
        <v>196</v>
      </c>
      <c r="C30" s="7" t="s">
        <v>157</v>
      </c>
      <c r="D30" s="20">
        <f t="shared" si="0"/>
        <v>260</v>
      </c>
    </row>
  </sheetData>
  <sortState xmlns:xlrd2="http://schemas.microsoft.com/office/spreadsheetml/2017/richdata2" ref="B22:D30">
    <sortCondition ref="B22:B30"/>
    <sortCondition ref="C22:C30"/>
  </sortState>
  <hyperlinks>
    <hyperlink ref="X7" r:id="rId1" xr:uid="{ED6BB74E-2747-4C06-852C-5B9E6B353C1A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15C2-697B-4293-A9F2-853903645001}">
  <dimension ref="A1:X30"/>
  <sheetViews>
    <sheetView workbookViewId="0">
      <selection activeCell="F23" sqref="F23:F30"/>
    </sheetView>
  </sheetViews>
  <sheetFormatPr defaultRowHeight="15" x14ac:dyDescent="0.25"/>
  <cols>
    <col min="2" max="2" width="10.42578125" bestFit="1" customWidth="1"/>
    <col min="4" max="4" width="10.140625" bestFit="1" customWidth="1"/>
  </cols>
  <sheetData>
    <row r="1" spans="1:24" x14ac:dyDescent="0.25">
      <c r="B1" s="1" t="s">
        <v>252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12</v>
      </c>
      <c r="Q1" s="1" t="s">
        <v>63</v>
      </c>
      <c r="R1" s="1" t="s">
        <v>64</v>
      </c>
      <c r="T1" s="1" t="s">
        <v>13</v>
      </c>
      <c r="V1" s="1" t="s">
        <v>24</v>
      </c>
      <c r="X1" s="1" t="s">
        <v>59</v>
      </c>
    </row>
    <row r="2" spans="1:24" x14ac:dyDescent="0.25">
      <c r="B2" s="2">
        <v>44550</v>
      </c>
      <c r="C2" t="s">
        <v>25</v>
      </c>
      <c r="D2" s="4">
        <v>242</v>
      </c>
      <c r="E2">
        <v>5</v>
      </c>
      <c r="F2" t="s">
        <v>98</v>
      </c>
      <c r="G2" s="3">
        <v>23</v>
      </c>
      <c r="H2" t="s">
        <v>99</v>
      </c>
      <c r="I2">
        <v>200</v>
      </c>
      <c r="J2">
        <v>11</v>
      </c>
      <c r="P2" t="s">
        <v>132</v>
      </c>
      <c r="R2">
        <v>2024</v>
      </c>
      <c r="X2" t="s">
        <v>137</v>
      </c>
    </row>
    <row r="3" spans="1:24" x14ac:dyDescent="0.25">
      <c r="B3" s="2">
        <v>44524</v>
      </c>
      <c r="C3" t="s">
        <v>60</v>
      </c>
      <c r="D3" s="5">
        <v>455</v>
      </c>
      <c r="E3">
        <v>35</v>
      </c>
      <c r="F3" t="s">
        <v>139</v>
      </c>
      <c r="G3" s="3">
        <v>69</v>
      </c>
      <c r="H3" t="s">
        <v>61</v>
      </c>
      <c r="I3">
        <v>170</v>
      </c>
      <c r="J3">
        <v>6.6</v>
      </c>
      <c r="P3" t="s">
        <v>140</v>
      </c>
      <c r="R3">
        <v>2024</v>
      </c>
      <c r="X3" t="s">
        <v>138</v>
      </c>
    </row>
    <row r="4" spans="1:24" x14ac:dyDescent="0.25">
      <c r="B4" s="2">
        <v>44412</v>
      </c>
      <c r="C4" t="s">
        <v>86</v>
      </c>
      <c r="D4" s="5">
        <v>242</v>
      </c>
      <c r="E4">
        <v>30</v>
      </c>
      <c r="F4" t="s">
        <v>147</v>
      </c>
      <c r="G4" s="3">
        <v>39</v>
      </c>
      <c r="H4" t="s">
        <v>145</v>
      </c>
      <c r="P4" t="s">
        <v>146</v>
      </c>
      <c r="Q4">
        <v>1</v>
      </c>
      <c r="R4">
        <v>2024</v>
      </c>
      <c r="X4" t="s">
        <v>148</v>
      </c>
    </row>
    <row r="5" spans="1:24" x14ac:dyDescent="0.25">
      <c r="B5" s="2">
        <v>44854</v>
      </c>
      <c r="C5" t="s">
        <v>60</v>
      </c>
      <c r="D5" s="5">
        <v>105</v>
      </c>
      <c r="E5">
        <v>35</v>
      </c>
      <c r="F5" t="s">
        <v>62</v>
      </c>
      <c r="G5" s="3">
        <v>16</v>
      </c>
      <c r="H5" t="s">
        <v>61</v>
      </c>
      <c r="I5">
        <v>170</v>
      </c>
      <c r="J5">
        <v>6.6</v>
      </c>
      <c r="O5">
        <v>145</v>
      </c>
      <c r="Q5">
        <v>2</v>
      </c>
      <c r="R5">
        <v>2024</v>
      </c>
      <c r="X5" s="6" t="s">
        <v>65</v>
      </c>
    </row>
    <row r="6" spans="1:24" x14ac:dyDescent="0.25">
      <c r="B6" s="2">
        <v>44795</v>
      </c>
      <c r="C6" t="s">
        <v>66</v>
      </c>
      <c r="D6">
        <v>48</v>
      </c>
      <c r="E6">
        <v>20</v>
      </c>
      <c r="F6" t="s">
        <v>67</v>
      </c>
      <c r="G6" s="3">
        <v>8</v>
      </c>
      <c r="H6" t="s">
        <v>61</v>
      </c>
      <c r="I6">
        <v>170</v>
      </c>
      <c r="J6">
        <v>6.6</v>
      </c>
      <c r="O6">
        <v>135</v>
      </c>
      <c r="P6" t="s">
        <v>68</v>
      </c>
      <c r="Q6">
        <v>3</v>
      </c>
      <c r="R6">
        <v>2024</v>
      </c>
      <c r="X6" t="s">
        <v>69</v>
      </c>
    </row>
    <row r="7" spans="1:24" x14ac:dyDescent="0.25">
      <c r="B7" s="2">
        <v>44748</v>
      </c>
      <c r="C7" t="s">
        <v>88</v>
      </c>
      <c r="D7">
        <v>60</v>
      </c>
      <c r="E7">
        <v>25</v>
      </c>
      <c r="F7" t="s">
        <v>89</v>
      </c>
      <c r="G7">
        <v>10</v>
      </c>
      <c r="H7" t="s">
        <v>27</v>
      </c>
      <c r="I7">
        <v>145</v>
      </c>
      <c r="J7">
        <v>5</v>
      </c>
      <c r="Q7">
        <v>2</v>
      </c>
      <c r="R7">
        <v>2024</v>
      </c>
      <c r="X7" t="s">
        <v>87</v>
      </c>
    </row>
    <row r="8" spans="1:24" x14ac:dyDescent="0.25">
      <c r="B8" s="2">
        <v>44747</v>
      </c>
      <c r="C8" t="s">
        <v>90</v>
      </c>
      <c r="D8">
        <v>75</v>
      </c>
      <c r="E8">
        <v>20</v>
      </c>
      <c r="F8" t="s">
        <v>91</v>
      </c>
      <c r="G8">
        <v>15</v>
      </c>
      <c r="H8" t="s">
        <v>27</v>
      </c>
      <c r="I8">
        <v>145</v>
      </c>
      <c r="J8">
        <v>5</v>
      </c>
      <c r="R8">
        <v>2024</v>
      </c>
      <c r="X8" t="s">
        <v>92</v>
      </c>
    </row>
    <row r="9" spans="1:24" x14ac:dyDescent="0.25">
      <c r="B9" s="2">
        <v>44739</v>
      </c>
      <c r="C9" t="s">
        <v>25</v>
      </c>
      <c r="D9" s="4">
        <v>913</v>
      </c>
      <c r="F9" t="s">
        <v>98</v>
      </c>
      <c r="G9" s="3">
        <v>83</v>
      </c>
      <c r="H9" t="s">
        <v>99</v>
      </c>
      <c r="I9">
        <v>200</v>
      </c>
      <c r="J9">
        <v>11</v>
      </c>
      <c r="P9" t="s">
        <v>35</v>
      </c>
      <c r="R9">
        <v>2024</v>
      </c>
      <c r="X9" t="s">
        <v>97</v>
      </c>
    </row>
    <row r="10" spans="1:24" x14ac:dyDescent="0.25">
      <c r="B10" s="2">
        <v>44739</v>
      </c>
      <c r="C10" t="s">
        <v>101</v>
      </c>
      <c r="D10" s="4">
        <v>350</v>
      </c>
      <c r="F10" t="s">
        <v>14</v>
      </c>
      <c r="G10" s="3">
        <v>25</v>
      </c>
      <c r="H10" t="s">
        <v>102</v>
      </c>
      <c r="I10">
        <v>236</v>
      </c>
      <c r="J10">
        <v>14</v>
      </c>
      <c r="P10" t="s">
        <v>103</v>
      </c>
      <c r="R10">
        <v>2024</v>
      </c>
      <c r="X10" t="s">
        <v>100</v>
      </c>
    </row>
    <row r="11" spans="1:24" x14ac:dyDescent="0.25">
      <c r="B11" s="2">
        <v>44734</v>
      </c>
      <c r="C11" t="s">
        <v>104</v>
      </c>
      <c r="D11" s="4">
        <v>882</v>
      </c>
      <c r="F11" t="s">
        <v>107</v>
      </c>
      <c r="G11" s="3">
        <v>60</v>
      </c>
      <c r="H11" t="s">
        <v>11</v>
      </c>
      <c r="I11">
        <v>222</v>
      </c>
      <c r="J11">
        <v>14</v>
      </c>
      <c r="R11">
        <v>2024</v>
      </c>
      <c r="T11" t="s">
        <v>105</v>
      </c>
      <c r="X11" t="s">
        <v>106</v>
      </c>
    </row>
    <row r="12" spans="1:24" x14ac:dyDescent="0.25">
      <c r="B12" s="2">
        <v>44701</v>
      </c>
      <c r="C12" t="s">
        <v>111</v>
      </c>
      <c r="D12" s="4">
        <v>66</v>
      </c>
      <c r="F12" t="s">
        <v>113</v>
      </c>
      <c r="G12" s="3">
        <v>20</v>
      </c>
      <c r="H12" t="s">
        <v>112</v>
      </c>
      <c r="I12">
        <v>132</v>
      </c>
      <c r="J12">
        <v>3.3</v>
      </c>
      <c r="R12">
        <v>2024</v>
      </c>
      <c r="X12" t="s">
        <v>114</v>
      </c>
    </row>
    <row r="13" spans="1:24" x14ac:dyDescent="0.25">
      <c r="B13" s="2"/>
    </row>
    <row r="14" spans="1:24" x14ac:dyDescent="0.25">
      <c r="B14" s="2"/>
      <c r="G14" s="3"/>
    </row>
    <row r="15" spans="1:24" x14ac:dyDescent="0.25">
      <c r="A15">
        <f>SUM(D2:D14)</f>
        <v>3438</v>
      </c>
    </row>
    <row r="21" spans="2:6" x14ac:dyDescent="0.25">
      <c r="B21" s="11" t="s">
        <v>195</v>
      </c>
      <c r="C21" s="12" t="s">
        <v>1</v>
      </c>
      <c r="D21" s="13" t="s">
        <v>2</v>
      </c>
    </row>
    <row r="22" spans="2:6" x14ac:dyDescent="0.25">
      <c r="B22" s="9" t="s">
        <v>200</v>
      </c>
      <c r="C22" t="s">
        <v>90</v>
      </c>
      <c r="D22" s="19">
        <f>SUMIF(C$2:C$12,C22,D$2:D$12)</f>
        <v>75</v>
      </c>
    </row>
    <row r="23" spans="2:6" x14ac:dyDescent="0.25">
      <c r="B23" s="9" t="s">
        <v>198</v>
      </c>
      <c r="C23" t="s">
        <v>60</v>
      </c>
      <c r="D23" s="19">
        <f t="shared" ref="D23:D30" si="0">SUMIF(C$2:C$12,C23,D$2:D$12)</f>
        <v>560</v>
      </c>
      <c r="F23">
        <f>SQRT(D23)/8</f>
        <v>2.9580398915498081</v>
      </c>
    </row>
    <row r="24" spans="2:6" x14ac:dyDescent="0.25">
      <c r="B24" s="9" t="s">
        <v>198</v>
      </c>
      <c r="C24" t="s">
        <v>25</v>
      </c>
      <c r="D24" s="19">
        <f t="shared" si="0"/>
        <v>1155</v>
      </c>
      <c r="F24">
        <f t="shared" ref="F24:F30" si="1">SQRT(D24)/8</f>
        <v>4.2481613669916074</v>
      </c>
    </row>
    <row r="25" spans="2:6" x14ac:dyDescent="0.25">
      <c r="B25" s="9" t="s">
        <v>198</v>
      </c>
      <c r="C25" t="s">
        <v>101</v>
      </c>
      <c r="D25" s="19">
        <f t="shared" si="0"/>
        <v>350</v>
      </c>
      <c r="F25">
        <f t="shared" si="1"/>
        <v>2.3385358667337135</v>
      </c>
    </row>
    <row r="26" spans="2:6" x14ac:dyDescent="0.25">
      <c r="B26" s="9" t="s">
        <v>198</v>
      </c>
      <c r="C26" t="s">
        <v>66</v>
      </c>
      <c r="D26" s="19">
        <f t="shared" si="0"/>
        <v>48</v>
      </c>
      <c r="F26">
        <f t="shared" si="1"/>
        <v>0.8660254037844386</v>
      </c>
    </row>
    <row r="27" spans="2:6" x14ac:dyDescent="0.25">
      <c r="B27" s="9" t="s">
        <v>198</v>
      </c>
      <c r="C27" t="s">
        <v>111</v>
      </c>
      <c r="D27" s="19">
        <f t="shared" si="0"/>
        <v>66</v>
      </c>
      <c r="F27">
        <f t="shared" si="1"/>
        <v>1.0155048005794951</v>
      </c>
    </row>
    <row r="28" spans="2:6" x14ac:dyDescent="0.25">
      <c r="B28" s="9" t="s">
        <v>198</v>
      </c>
      <c r="C28" t="s">
        <v>88</v>
      </c>
      <c r="D28" s="19">
        <f t="shared" si="0"/>
        <v>60</v>
      </c>
      <c r="F28">
        <f t="shared" si="1"/>
        <v>0.96824583655185426</v>
      </c>
    </row>
    <row r="29" spans="2:6" x14ac:dyDescent="0.25">
      <c r="B29" s="9" t="s">
        <v>198</v>
      </c>
      <c r="C29" t="s">
        <v>86</v>
      </c>
      <c r="D29" s="19">
        <f t="shared" si="0"/>
        <v>242</v>
      </c>
      <c r="F29">
        <f t="shared" si="1"/>
        <v>1.9445436482630056</v>
      </c>
    </row>
    <row r="30" spans="2:6" x14ac:dyDescent="0.25">
      <c r="B30" s="10" t="s">
        <v>198</v>
      </c>
      <c r="C30" s="7" t="s">
        <v>104</v>
      </c>
      <c r="D30" s="20">
        <f t="shared" si="0"/>
        <v>882</v>
      </c>
      <c r="F30">
        <f t="shared" si="1"/>
        <v>3.7123106012293743</v>
      </c>
    </row>
  </sheetData>
  <sortState xmlns:xlrd2="http://schemas.microsoft.com/office/spreadsheetml/2017/richdata2" ref="B22:D30">
    <sortCondition ref="B22:B30"/>
    <sortCondition ref="C22:C30"/>
  </sortState>
  <hyperlinks>
    <hyperlink ref="X5" r:id="rId1" xr:uid="{BD55BF3D-D712-4034-A09F-E8B9D4BDEE3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96A3-3E70-4E2B-93C7-367C467AFDE4}">
  <dimension ref="A1:X30"/>
  <sheetViews>
    <sheetView workbookViewId="0">
      <selection activeCell="F22" sqref="F22:F23"/>
    </sheetView>
  </sheetViews>
  <sheetFormatPr defaultRowHeight="15" x14ac:dyDescent="0.25"/>
  <cols>
    <col min="2" max="2" width="10.42578125" bestFit="1" customWidth="1"/>
    <col min="4" max="4" width="10.140625" bestFit="1" customWidth="1"/>
  </cols>
  <sheetData>
    <row r="1" spans="1:24" x14ac:dyDescent="0.25">
      <c r="B1" s="1" t="s">
        <v>252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12</v>
      </c>
      <c r="Q1" s="1" t="s">
        <v>63</v>
      </c>
      <c r="R1" s="1" t="s">
        <v>64</v>
      </c>
      <c r="T1" s="1" t="s">
        <v>13</v>
      </c>
      <c r="V1" s="1" t="s">
        <v>24</v>
      </c>
      <c r="X1" s="1" t="s">
        <v>59</v>
      </c>
    </row>
    <row r="2" spans="1:24" x14ac:dyDescent="0.25">
      <c r="B2" s="2">
        <v>44761</v>
      </c>
      <c r="C2" t="s">
        <v>86</v>
      </c>
      <c r="D2">
        <v>277</v>
      </c>
      <c r="E2">
        <v>35</v>
      </c>
      <c r="F2" t="s">
        <v>85</v>
      </c>
      <c r="G2" s="3">
        <v>42</v>
      </c>
      <c r="H2" t="s">
        <v>61</v>
      </c>
      <c r="I2">
        <v>170</v>
      </c>
      <c r="J2">
        <v>6.6</v>
      </c>
      <c r="K2">
        <v>1</v>
      </c>
      <c r="L2" t="s">
        <v>83</v>
      </c>
      <c r="M2">
        <v>155</v>
      </c>
      <c r="N2">
        <v>6.6</v>
      </c>
      <c r="P2" t="s">
        <v>84</v>
      </c>
      <c r="Q2">
        <v>1</v>
      </c>
      <c r="R2">
        <v>2025</v>
      </c>
      <c r="X2" t="s">
        <v>82</v>
      </c>
    </row>
    <row r="3" spans="1:24" x14ac:dyDescent="0.25">
      <c r="B3" s="2">
        <v>44614</v>
      </c>
      <c r="C3" t="s">
        <v>101</v>
      </c>
      <c r="D3" s="4">
        <v>1440</v>
      </c>
      <c r="G3">
        <v>103</v>
      </c>
      <c r="H3" t="s">
        <v>102</v>
      </c>
      <c r="I3">
        <v>236</v>
      </c>
      <c r="J3">
        <v>14</v>
      </c>
      <c r="P3" t="s">
        <v>115</v>
      </c>
      <c r="R3">
        <v>2025</v>
      </c>
      <c r="T3" t="s">
        <v>116</v>
      </c>
      <c r="X3" t="s">
        <v>118</v>
      </c>
    </row>
    <row r="4" spans="1:24" x14ac:dyDescent="0.25">
      <c r="B4" s="2"/>
      <c r="D4" s="5"/>
      <c r="G4" s="3"/>
    </row>
    <row r="5" spans="1:24" x14ac:dyDescent="0.25">
      <c r="B5" s="2"/>
      <c r="D5" s="5"/>
      <c r="G5" s="3"/>
      <c r="X5" s="6"/>
    </row>
    <row r="6" spans="1:24" x14ac:dyDescent="0.25">
      <c r="B6" s="2"/>
      <c r="G6" s="3"/>
    </row>
    <row r="7" spans="1:24" x14ac:dyDescent="0.25">
      <c r="B7" s="2"/>
    </row>
    <row r="8" spans="1:24" x14ac:dyDescent="0.25">
      <c r="B8" s="2"/>
    </row>
    <row r="9" spans="1:24" x14ac:dyDescent="0.25">
      <c r="B9" s="2"/>
      <c r="D9" s="4"/>
      <c r="G9" s="3"/>
    </row>
    <row r="10" spans="1:24" x14ac:dyDescent="0.25">
      <c r="B10" s="2"/>
      <c r="D10" s="4"/>
      <c r="G10" s="3"/>
    </row>
    <row r="11" spans="1:24" x14ac:dyDescent="0.25">
      <c r="B11" s="2"/>
      <c r="D11" s="4"/>
      <c r="G11" s="3"/>
    </row>
    <row r="12" spans="1:24" x14ac:dyDescent="0.25">
      <c r="B12" s="2"/>
      <c r="D12" s="4"/>
      <c r="G12" s="3"/>
    </row>
    <row r="13" spans="1:24" x14ac:dyDescent="0.25">
      <c r="B13" s="2"/>
    </row>
    <row r="14" spans="1:24" x14ac:dyDescent="0.25">
      <c r="B14" s="2"/>
      <c r="G14" s="3"/>
    </row>
    <row r="15" spans="1:24" x14ac:dyDescent="0.25">
      <c r="A15">
        <f>SUM(D2:D14)</f>
        <v>1717</v>
      </c>
    </row>
    <row r="21" spans="2:6" x14ac:dyDescent="0.25">
      <c r="B21" s="11" t="s">
        <v>195</v>
      </c>
      <c r="C21" s="12" t="s">
        <v>1</v>
      </c>
      <c r="D21" s="13" t="s">
        <v>2</v>
      </c>
    </row>
    <row r="22" spans="2:6" x14ac:dyDescent="0.25">
      <c r="B22" s="9" t="s">
        <v>198</v>
      </c>
      <c r="C22" t="s">
        <v>101</v>
      </c>
      <c r="D22" s="19">
        <f>SUMIF(C$2:C$12,C22,D$2:D$12)</f>
        <v>1440</v>
      </c>
      <c r="F22">
        <f>SQRT(D22)/8</f>
        <v>4.7434164902525691</v>
      </c>
    </row>
    <row r="23" spans="2:6" x14ac:dyDescent="0.25">
      <c r="B23" s="10" t="s">
        <v>198</v>
      </c>
      <c r="C23" s="7" t="s">
        <v>86</v>
      </c>
      <c r="D23" s="20">
        <f>SUMIF(C$2:C$12,C23,D$2:D$12)</f>
        <v>277</v>
      </c>
      <c r="F23">
        <f>SQRT(D23)/8</f>
        <v>2.0804146221366548</v>
      </c>
    </row>
    <row r="24" spans="2:6" x14ac:dyDescent="0.25">
      <c r="D24" s="3"/>
    </row>
    <row r="26" spans="2:6" x14ac:dyDescent="0.25">
      <c r="D26" s="3"/>
    </row>
    <row r="27" spans="2:6" x14ac:dyDescent="0.25">
      <c r="D27" s="3"/>
    </row>
    <row r="28" spans="2:6" x14ac:dyDescent="0.25">
      <c r="D28" s="3"/>
    </row>
    <row r="30" spans="2:6" x14ac:dyDescent="0.25">
      <c r="D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16</vt:i4>
      </vt:variant>
    </vt:vector>
  </HeadingPairs>
  <TitlesOfParts>
    <vt:vector size="16" baseType="lpstr">
      <vt:lpstr>economy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projections</vt:lpstr>
      <vt:lpstr>plots</vt:lpstr>
      <vt:lpstr>delivery 2023</vt:lpstr>
      <vt:lpstr>delivery 2024</vt:lpstr>
      <vt:lpstr>delivery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Bruger</dc:creator>
  <cp:lastModifiedBy>Thomas Buhl</cp:lastModifiedBy>
  <cp:lastPrinted>2022-11-10T15:47:44Z</cp:lastPrinted>
  <dcterms:created xsi:type="dcterms:W3CDTF">2022-11-07T09:28:53Z</dcterms:created>
  <dcterms:modified xsi:type="dcterms:W3CDTF">2026-05-18T06:23:54Z</dcterms:modified>
</cp:coreProperties>
</file>